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lantformcorp-my.sharepoint.com/personal/rebecca_pastora_plantformcorp_com/Documents/Desktop/Blitz Analyses/"/>
    </mc:Choice>
  </mc:AlternateContent>
  <xr:revisionPtr revIDLastSave="448" documentId="8_{2D6D8F91-36FA-4E76-B19E-DBAD38EB54A3}" xr6:coauthVersionLast="47" xr6:coauthVersionMax="47" xr10:uidLastSave="{7DE69F8A-842C-4D3D-9041-CB6C02A58CCD}"/>
  <bookViews>
    <workbookView xWindow="-120" yWindow="-120" windowWidth="29040" windowHeight="15720" xr2:uid="{00000000-000D-0000-FFFF-FFFF00000000}"/>
  </bookViews>
  <sheets>
    <sheet name="HC2" sheetId="4" r:id="rId1"/>
    <sheet name="HC5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5" l="1"/>
  <c r="Q21" i="5"/>
  <c r="Q22" i="5"/>
  <c r="Q23" i="5"/>
  <c r="Q24" i="5"/>
  <c r="Q25" i="5"/>
  <c r="Q26" i="5"/>
  <c r="Q27" i="5"/>
  <c r="P27" i="5"/>
  <c r="P26" i="5"/>
  <c r="P25" i="5"/>
  <c r="P24" i="5"/>
  <c r="P23" i="5"/>
  <c r="P22" i="5"/>
  <c r="P21" i="5"/>
  <c r="P20" i="5"/>
  <c r="D22" i="5"/>
  <c r="D56" i="5"/>
  <c r="F56" i="5" s="1"/>
  <c r="D55" i="5"/>
  <c r="F55" i="5" s="1"/>
  <c r="D54" i="5"/>
  <c r="F54" i="5" s="1"/>
  <c r="D53" i="5"/>
  <c r="F53" i="5" s="1"/>
  <c r="D51" i="5"/>
  <c r="F51" i="5" s="1"/>
  <c r="D50" i="5"/>
  <c r="F50" i="5" s="1"/>
  <c r="D49" i="5"/>
  <c r="F49" i="5" s="1"/>
  <c r="D48" i="5"/>
  <c r="F48" i="5" s="1"/>
  <c r="D46" i="5"/>
  <c r="F46" i="5" s="1"/>
  <c r="D45" i="5"/>
  <c r="F45" i="5" s="1"/>
  <c r="D44" i="5"/>
  <c r="F44" i="5" s="1"/>
  <c r="D43" i="5"/>
  <c r="F43" i="5" s="1"/>
  <c r="D41" i="5"/>
  <c r="F41" i="5" s="1"/>
  <c r="D40" i="5"/>
  <c r="F40" i="5" s="1"/>
  <c r="D39" i="5"/>
  <c r="F39" i="5" s="1"/>
  <c r="D38" i="5"/>
  <c r="F38" i="5" s="1"/>
  <c r="D36" i="5"/>
  <c r="F36" i="5" s="1"/>
  <c r="D35" i="5"/>
  <c r="F35" i="5" s="1"/>
  <c r="D34" i="5"/>
  <c r="F34" i="5" s="1"/>
  <c r="D33" i="5"/>
  <c r="F33" i="5" s="1"/>
  <c r="D31" i="5"/>
  <c r="F31" i="5" s="1"/>
  <c r="D30" i="5"/>
  <c r="F30" i="5" s="1"/>
  <c r="D29" i="5"/>
  <c r="F29" i="5" s="1"/>
  <c r="D28" i="5"/>
  <c r="F28" i="5" s="1"/>
  <c r="D26" i="5"/>
  <c r="F26" i="5" s="1"/>
  <c r="D25" i="5"/>
  <c r="F25" i="5" s="1"/>
  <c r="D24" i="5"/>
  <c r="F24" i="5" s="1"/>
  <c r="D23" i="5"/>
  <c r="F23" i="5" s="1"/>
  <c r="D21" i="5"/>
  <c r="F21" i="5" s="1"/>
  <c r="D20" i="5"/>
  <c r="F20" i="5" s="1"/>
  <c r="D19" i="5"/>
  <c r="F19" i="5" s="1"/>
  <c r="D18" i="5"/>
  <c r="F18" i="5" s="1"/>
  <c r="M19" i="4"/>
  <c r="M20" i="4"/>
  <c r="M21" i="4"/>
  <c r="M22" i="4"/>
  <c r="M23" i="4"/>
  <c r="M24" i="4"/>
  <c r="M25" i="4"/>
  <c r="M26" i="4"/>
  <c r="L26" i="4"/>
  <c r="L25" i="4"/>
  <c r="L24" i="4"/>
  <c r="L23" i="4"/>
  <c r="L22" i="4"/>
  <c r="H18" i="4"/>
  <c r="H23" i="4"/>
  <c r="H28" i="4"/>
  <c r="H33" i="4"/>
  <c r="H38" i="4"/>
  <c r="H43" i="4"/>
  <c r="H48" i="4"/>
  <c r="H53" i="4"/>
  <c r="G53" i="4"/>
  <c r="G48" i="4"/>
  <c r="G43" i="4"/>
  <c r="G38" i="4"/>
  <c r="G33" i="4"/>
  <c r="G28" i="4"/>
  <c r="G23" i="4"/>
  <c r="G18" i="4"/>
  <c r="D18" i="4"/>
  <c r="F18" i="4" s="1"/>
  <c r="D24" i="4"/>
  <c r="F24" i="4" s="1"/>
  <c r="D23" i="4"/>
  <c r="F23" i="4" s="1"/>
  <c r="D34" i="4"/>
  <c r="F34" i="4" s="1"/>
  <c r="D35" i="4"/>
  <c r="F35" i="4" s="1"/>
  <c r="D36" i="4"/>
  <c r="F36" i="4" s="1"/>
  <c r="D38" i="4"/>
  <c r="F38" i="4" s="1"/>
  <c r="D39" i="4"/>
  <c r="F39" i="4" s="1"/>
  <c r="D40" i="4"/>
  <c r="F40" i="4" s="1"/>
  <c r="D41" i="4"/>
  <c r="F41" i="4" s="1"/>
  <c r="D43" i="4"/>
  <c r="F43" i="4" s="1"/>
  <c r="D44" i="4"/>
  <c r="F44" i="4" s="1"/>
  <c r="D45" i="4"/>
  <c r="F45" i="4" s="1"/>
  <c r="D46" i="4"/>
  <c r="F46" i="4" s="1"/>
  <c r="D19" i="4"/>
  <c r="F19" i="4" s="1"/>
  <c r="D20" i="4"/>
  <c r="F20" i="4" s="1"/>
  <c r="D21" i="4"/>
  <c r="F21" i="4" s="1"/>
  <c r="D25" i="4"/>
  <c r="F25" i="4" s="1"/>
  <c r="D26" i="4"/>
  <c r="F26" i="4" s="1"/>
  <c r="D28" i="4"/>
  <c r="F28" i="4" s="1"/>
  <c r="D29" i="4"/>
  <c r="F29" i="4" s="1"/>
  <c r="D30" i="4"/>
  <c r="F30" i="4" s="1"/>
  <c r="D31" i="4"/>
  <c r="F31" i="4" s="1"/>
  <c r="D33" i="4"/>
  <c r="F33" i="4" s="1"/>
  <c r="D48" i="4"/>
  <c r="F48" i="4" s="1"/>
  <c r="D49" i="4"/>
  <c r="F49" i="4" s="1"/>
  <c r="D50" i="4"/>
  <c r="F50" i="4" s="1"/>
  <c r="D51" i="4"/>
  <c r="F51" i="4" s="1"/>
  <c r="D53" i="4"/>
  <c r="F53" i="4" s="1"/>
  <c r="D54" i="4"/>
  <c r="F54" i="4" s="1"/>
  <c r="D55" i="4"/>
  <c r="F55" i="4" s="1"/>
  <c r="D56" i="4"/>
  <c r="F56" i="4" s="1"/>
  <c r="G38" i="5" l="1"/>
  <c r="H28" i="5"/>
  <c r="H33" i="5"/>
  <c r="G33" i="5"/>
  <c r="H53" i="5"/>
  <c r="G53" i="5"/>
  <c r="H18" i="5"/>
  <c r="G18" i="5"/>
  <c r="H48" i="5"/>
  <c r="G48" i="5"/>
  <c r="H43" i="5"/>
  <c r="G43" i="5"/>
  <c r="H23" i="5"/>
  <c r="G23" i="5"/>
  <c r="H38" i="5"/>
  <c r="G28" i="5"/>
  <c r="L21" i="4"/>
  <c r="L20" i="4"/>
  <c r="L19" i="4"/>
</calcChain>
</file>

<file path=xl/sharedStrings.xml><?xml version="1.0" encoding="utf-8"?>
<sst xmlns="http://schemas.openxmlformats.org/spreadsheetml/2006/main" count="117" uniqueCount="65">
  <si>
    <t>Treatments:</t>
  </si>
  <si>
    <t xml:space="preserve"> </t>
  </si>
  <si>
    <t>Treatment</t>
  </si>
  <si>
    <t>Volume         [mL]</t>
  </si>
  <si>
    <t>Blitz data. Amt of IgG [µg/mL]</t>
  </si>
  <si>
    <t xml:space="preserve"> Amt of IgG           [µg]</t>
  </si>
  <si>
    <t>Fresh Weight       [g]</t>
  </si>
  <si>
    <t>IgG Expression [mg/kg]</t>
  </si>
  <si>
    <t>Average IgG Expression [mg/kg]</t>
  </si>
  <si>
    <t xml:space="preserve">SD   </t>
  </si>
  <si>
    <t>58, p1</t>
  </si>
  <si>
    <t>sd</t>
  </si>
  <si>
    <t>58, p2</t>
  </si>
  <si>
    <t>0058</t>
  </si>
  <si>
    <t>58, p3</t>
  </si>
  <si>
    <t>58, p4</t>
  </si>
  <si>
    <t>Ada HC2</t>
  </si>
  <si>
    <t>Infiltrated July 23, 2026. Lot#R230826. KDFX. 6 biological reps, strip harvest.</t>
  </si>
  <si>
    <t>1) pPFC0058</t>
  </si>
  <si>
    <t>2) PFC2324 (YF ada HC2) + PFC1435 (P19) + PFC2328 (YF ada LC1)</t>
  </si>
  <si>
    <t>3) PFC2324 + PFC1435 + PFC2329 (YF ada LC2)</t>
  </si>
  <si>
    <t>4) PFC2324 + PFC1435 + PFC2330 (YF ada LC3)</t>
  </si>
  <si>
    <t>5) PFC2324 + PFC1435 + PFC2331 (YF ada LC4)</t>
  </si>
  <si>
    <t>6) PFC2324 + PFC1435 + PFC2332 (YF ada LC5)</t>
  </si>
  <si>
    <t>7) PFC2335 (MM ada LC1) + PFC1435 + PFC2333 (MM ada HC1)</t>
  </si>
  <si>
    <t>8) PFC2335 + PFC1435 + PFC2334 (MM ada HC3)</t>
  </si>
  <si>
    <t>Homogenized via polytron, 3x buffer. H IgG Std Curve 0.05 - 150 ug/ml. Linear fit R² = 0.9969 [Trastuzumab]</t>
  </si>
  <si>
    <t>Ada Standard Curve 1 - 200 ug/ml. Linear fit R² = 0.9979 [Adalimumab]</t>
  </si>
  <si>
    <t>2328, p1</t>
  </si>
  <si>
    <t>2328, p2</t>
  </si>
  <si>
    <t>2328, p3</t>
  </si>
  <si>
    <t>2328, p4</t>
  </si>
  <si>
    <t>2329, p1</t>
  </si>
  <si>
    <t>2329, p2</t>
  </si>
  <si>
    <t>2329, p3</t>
  </si>
  <si>
    <t>2329, p4</t>
  </si>
  <si>
    <t>2330, p1</t>
  </si>
  <si>
    <t>2330, p2</t>
  </si>
  <si>
    <t>2330, p3</t>
  </si>
  <si>
    <t>2330, p4</t>
  </si>
  <si>
    <t>2331, p1</t>
  </si>
  <si>
    <t>2331, p2</t>
  </si>
  <si>
    <t>2331, p3</t>
  </si>
  <si>
    <t>2331, p4</t>
  </si>
  <si>
    <t>2332, p1</t>
  </si>
  <si>
    <t>2332, p2</t>
  </si>
  <si>
    <t>2332, p3</t>
  </si>
  <si>
    <t>2332, p4</t>
  </si>
  <si>
    <t>2333, p1</t>
  </si>
  <si>
    <t>2333, p2</t>
  </si>
  <si>
    <t>2333, p3</t>
  </si>
  <si>
    <t>2333, p4</t>
  </si>
  <si>
    <t>2334, p1</t>
  </si>
  <si>
    <t>2334, p2</t>
  </si>
  <si>
    <t>2334, p3</t>
  </si>
  <si>
    <t>2334, p4</t>
  </si>
  <si>
    <t>Infiltrated July 29, 2026. Lot#R230827. KDFX. 6 biological reps, strip harvest.</t>
  </si>
  <si>
    <t>2) PFC2327 (YF ada HC2) + PFC1435 (P19) + PFC2328 (YF ada LC1)</t>
  </si>
  <si>
    <t>3) PFC2327 + PFC1435 + PFC2329 (YF ada LC2)</t>
  </si>
  <si>
    <t>4) PFC2327 + PFC1435 + PFC2330 (YF ada LC3)</t>
  </si>
  <si>
    <t>5) PFC2327 + PFC1435 + PFC2331 (YF ada LC4)</t>
  </si>
  <si>
    <t>6) PFC2327 + PFC1435 + PFC2332 (YF ada LC5)</t>
  </si>
  <si>
    <t>Ada HC5</t>
  </si>
  <si>
    <t>HC2 mg/kg</t>
  </si>
  <si>
    <t>HC5 mg/kg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</si>
</sst>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2" fontId="0" fillId="0" borderId="0" xfId="0" applyNumberFormat="1"/>
    <xf numFmtId="0" fontId="3" fillId="0" borderId="0" xfId="0" applyFont="1"/>
    <xf numFmtId="0" fontId="1" fillId="0" borderId="0" xfId="0" applyFont="1"/>
    <xf numFmtId="2" fontId="1" fillId="0" borderId="0" xfId="0" applyNumberFormat="1" applyFont="1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2" fontId="5" fillId="0" borderId="0" xfId="0" applyNumberFormat="1" applyFont="1"/>
    <xf numFmtId="2" fontId="7" fillId="0" borderId="0" xfId="0" applyNumberFormat="1" applyFont="1"/>
    <xf numFmtId="2" fontId="8" fillId="0" borderId="0" xfId="0" applyNumberFormat="1" applyFont="1"/>
    <xf numFmtId="0" fontId="6" fillId="0" borderId="0" xfId="0" applyFont="1" applyAlignment="1">
      <alignment horizontal="center"/>
    </xf>
    <xf numFmtId="49" fontId="5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86F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Ada HC2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'HC2'!$L$18</c:f>
              <c:strCache>
                <c:ptCount val="1"/>
                <c:pt idx="0">
                  <c:v>HC2 mg/kg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'HC2'!$M$19:$M$26</c:f>
                <c:numCache>
                  <c:formatCode>General</c:formatCode>
                  <c:ptCount val="8"/>
                  <c:pt idx="0">
                    <c:v>52.405986813757082</c:v>
                  </c:pt>
                  <c:pt idx="1">
                    <c:v>120.43555658084541</c:v>
                  </c:pt>
                  <c:pt idx="2">
                    <c:v>89.264554883957345</c:v>
                  </c:pt>
                  <c:pt idx="3">
                    <c:v>48.684901479435595</c:v>
                  </c:pt>
                  <c:pt idx="4">
                    <c:v>50.015136640586064</c:v>
                  </c:pt>
                  <c:pt idx="5">
                    <c:v>83.968149991528691</c:v>
                  </c:pt>
                  <c:pt idx="6">
                    <c:v>86.63664559233068</c:v>
                  </c:pt>
                  <c:pt idx="7">
                    <c:v>56.659377995246658</c:v>
                  </c:pt>
                </c:numCache>
              </c:numRef>
            </c:plus>
            <c:minus>
              <c:numRef>
                <c:f>'HC2'!$M$19:$M$26</c:f>
                <c:numCache>
                  <c:formatCode>General</c:formatCode>
                  <c:ptCount val="8"/>
                  <c:pt idx="0">
                    <c:v>52.405986813757082</c:v>
                  </c:pt>
                  <c:pt idx="1">
                    <c:v>120.43555658084541</c:v>
                  </c:pt>
                  <c:pt idx="2">
                    <c:v>89.264554883957345</c:v>
                  </c:pt>
                  <c:pt idx="3">
                    <c:v>48.684901479435595</c:v>
                  </c:pt>
                  <c:pt idx="4">
                    <c:v>50.015136640586064</c:v>
                  </c:pt>
                  <c:pt idx="5">
                    <c:v>83.968149991528691</c:v>
                  </c:pt>
                  <c:pt idx="6">
                    <c:v>86.63664559233068</c:v>
                  </c:pt>
                  <c:pt idx="7">
                    <c:v>56.659377995246658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'HC2'!$K$19:$K$26</c:f>
              <c:strCache>
                <c:ptCount val="8"/>
                <c:pt idx="0">
                  <c:v>0058</c:v>
                </c:pt>
                <c:pt idx="1">
                  <c:v>2328</c:v>
                </c:pt>
                <c:pt idx="2">
                  <c:v>2329</c:v>
                </c:pt>
                <c:pt idx="3">
                  <c:v>2330</c:v>
                </c:pt>
                <c:pt idx="4">
                  <c:v>2331</c:v>
                </c:pt>
                <c:pt idx="5">
                  <c:v>2332</c:v>
                </c:pt>
                <c:pt idx="6">
                  <c:v>2333</c:v>
                </c:pt>
                <c:pt idx="7">
                  <c:v>2334</c:v>
                </c:pt>
              </c:strCache>
            </c:strRef>
          </c:cat>
          <c:val>
            <c:numRef>
              <c:f>'HC2'!$L$19:$L$26</c:f>
              <c:numCache>
                <c:formatCode>0.00</c:formatCode>
                <c:ptCount val="8"/>
                <c:pt idx="0">
                  <c:v>279.60004051562339</c:v>
                </c:pt>
                <c:pt idx="1">
                  <c:v>573.90557500318027</c:v>
                </c:pt>
                <c:pt idx="2">
                  <c:v>488.95690110012436</c:v>
                </c:pt>
                <c:pt idx="3">
                  <c:v>478.97042666540995</c:v>
                </c:pt>
                <c:pt idx="4">
                  <c:v>574.67587572323305</c:v>
                </c:pt>
                <c:pt idx="5">
                  <c:v>493.1315723939702</c:v>
                </c:pt>
                <c:pt idx="6">
                  <c:v>494.71899793379936</c:v>
                </c:pt>
                <c:pt idx="7">
                  <c:v>464.96752306460968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9-4EAC-95D1-F7457B691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748623"/>
        <c:axId val="553727215"/>
      </c:barChart>
      <c:catAx>
        <c:axId val="130174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27215"/>
        <c:crosses val="autoZero"/>
        <c:auto val="1"/>
        <c:lblAlgn val="ctr"/>
        <c:lblOffset val="100"/>
        <c:noMultiLvlLbl val="0"/>
      </c:catAx>
      <c:valAx>
        <c:axId val="5537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Adalimumab</a:t>
                </a:r>
                <a:r>
                  <a:rPr lang="en-CA" baseline="0"/>
                  <a:t> [mg/kg]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1.3888888888888888E-2"/>
              <c:y val="0.37469160104986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74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New Adalimumab Vectors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'HC2'!$L$18</c:f>
              <c:strCache>
                <c:ptCount val="1"/>
                <c:pt idx="0">
                  <c:v>HC2 mg/kg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'HC2'!$K$19:$K$26</c:f>
              <c:strCache>
                <c:ptCount val="8"/>
                <c:pt idx="0">
                  <c:v>0058</c:v>
                </c:pt>
                <c:pt idx="1">
                  <c:v>2328</c:v>
                </c:pt>
                <c:pt idx="2">
                  <c:v>2329</c:v>
                </c:pt>
                <c:pt idx="3">
                  <c:v>2330</c:v>
                </c:pt>
                <c:pt idx="4">
                  <c:v>2331</c:v>
                </c:pt>
                <c:pt idx="5">
                  <c:v>2332</c:v>
                </c:pt>
                <c:pt idx="6">
                  <c:v>2333</c:v>
                </c:pt>
                <c:pt idx="7">
                  <c:v>2334</c:v>
                </c:pt>
              </c:strCache>
            </c:strRef>
          </c:cat>
          <c:val>
            <c:numRef>
              <c:f>'HC2'!$L$19:$L$26</c:f>
              <c:numCache>
                <c:formatCode>0.00</c:formatCode>
                <c:ptCount val="8"/>
                <c:pt idx="0">
                  <c:v>279.60004051562339</c:v>
                </c:pt>
                <c:pt idx="1">
                  <c:v>573.90557500318027</c:v>
                </c:pt>
                <c:pt idx="2">
                  <c:v>488.95690110012436</c:v>
                </c:pt>
                <c:pt idx="3">
                  <c:v>478.97042666540995</c:v>
                </c:pt>
                <c:pt idx="4">
                  <c:v>574.67587572323305</c:v>
                </c:pt>
                <c:pt idx="5">
                  <c:v>493.1315723939702</c:v>
                </c:pt>
                <c:pt idx="6">
                  <c:v>494.71899793379936</c:v>
                </c:pt>
                <c:pt idx="7">
                  <c:v>464.96752306460968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F-403B-986C-78D6D8C721A2}"/>
            </c:ext>
          </c:extLst>
        </c:ser>
        <c:ser>
          <c:idx val="1"/>
          <c:order val="1"/>
          <c:tx>
            <c:strRef>
              <c:f>'HC2'!$O$18</c:f>
              <c:strCache>
                <c:ptCount val="1"/>
                <c:pt idx="0">
                  <c:v>HC5 mg/kg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'HC2'!$K$19:$K$26</c:f>
              <c:strCache>
                <c:ptCount val="8"/>
                <c:pt idx="0">
                  <c:v>0058</c:v>
                </c:pt>
                <c:pt idx="1">
                  <c:v>2328</c:v>
                </c:pt>
                <c:pt idx="2">
                  <c:v>2329</c:v>
                </c:pt>
                <c:pt idx="3">
                  <c:v>2330</c:v>
                </c:pt>
                <c:pt idx="4">
                  <c:v>2331</c:v>
                </c:pt>
                <c:pt idx="5">
                  <c:v>2332</c:v>
                </c:pt>
                <c:pt idx="6">
                  <c:v>2333</c:v>
                </c:pt>
                <c:pt idx="7">
                  <c:v>2334</c:v>
                </c:pt>
              </c:strCache>
            </c:strRef>
          </c:cat>
          <c:val>
            <c:numRef>
              <c:f>'HC2'!$O$19:$O$26</c:f>
              <c:numCache>
                <c:formatCode>0.00</c:formatCode>
                <c:ptCount val="8"/>
                <c:pt idx="0">
                  <c:v>402.38743874068928</c:v>
                </c:pt>
                <c:pt idx="1">
                  <c:v>531.25530981599604</c:v>
                </c:pt>
                <c:pt idx="2">
                  <c:v>534.74163542059352</c:v>
                </c:pt>
                <c:pt idx="3">
                  <c:v>513.98570329303084</c:v>
                </c:pt>
                <c:pt idx="4">
                  <c:v>590.72702020185307</c:v>
                </c:pt>
                <c:pt idx="5">
                  <c:v>513.85780732127216</c:v>
                </c:pt>
                <c:pt idx="6">
                  <c:v>500.75957955630236</c:v>
                </c:pt>
                <c:pt idx="7">
                  <c:v>525.32739865378392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F-403B-986C-78D6D8C72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758496"/>
        <c:axId val="1058953776"/>
      </c:lineChart>
      <c:catAx>
        <c:axId val="107875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53776"/>
        <c:crosses val="autoZero"/>
        <c:auto val="1"/>
        <c:lblAlgn val="ctr"/>
        <c:lblOffset val="100"/>
        <c:noMultiLvlLbl val="0"/>
      </c:catAx>
      <c:valAx>
        <c:axId val="105895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Adalimumab [mg/kg]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66485126859142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5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Ada</a:t>
            </a:r>
            <a:r>
              <a:rPr lang="en-CA" baseline="0"/>
              <a:t> </a:t>
            </a:r>
            <a:r>
              <a:rPr lang="en-CA"/>
              <a:t>HC5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'HC5'!$P$19</c:f>
              <c:strCache>
                <c:ptCount val="1"/>
                <c:pt idx="0">
                  <c:v>HC5 mg/kg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'HC5'!$Q$20:$Q$27</c:f>
                <c:numCache>
                  <c:formatCode>General</c:formatCode>
                  <c:ptCount val="8"/>
                  <c:pt idx="0">
                    <c:v>50.806065225336091</c:v>
                  </c:pt>
                  <c:pt idx="1">
                    <c:v>56.659889124167471</c:v>
                  </c:pt>
                  <c:pt idx="2">
                    <c:v>57.332443556781946</c:v>
                  </c:pt>
                  <c:pt idx="3">
                    <c:v>69.200693237749419</c:v>
                  </c:pt>
                  <c:pt idx="4">
                    <c:v>97.790145610730846</c:v>
                  </c:pt>
                  <c:pt idx="5">
                    <c:v>26.85960143468418</c:v>
                  </c:pt>
                  <c:pt idx="6">
                    <c:v>61.028271080298737</c:v>
                  </c:pt>
                  <c:pt idx="7">
                    <c:v>85.23245346418517</c:v>
                  </c:pt>
                </c:numCache>
              </c:numRef>
            </c:plus>
            <c:minus>
              <c:numRef>
                <c:f>'HC5'!$Q$20:$Q$27</c:f>
                <c:numCache>
                  <c:formatCode>General</c:formatCode>
                  <c:ptCount val="8"/>
                  <c:pt idx="0">
                    <c:v>50.806065225336091</c:v>
                  </c:pt>
                  <c:pt idx="1">
                    <c:v>56.659889124167471</c:v>
                  </c:pt>
                  <c:pt idx="2">
                    <c:v>57.332443556781946</c:v>
                  </c:pt>
                  <c:pt idx="3">
                    <c:v>69.200693237749419</c:v>
                  </c:pt>
                  <c:pt idx="4">
                    <c:v>97.790145610730846</c:v>
                  </c:pt>
                  <c:pt idx="5">
                    <c:v>26.85960143468418</c:v>
                  </c:pt>
                  <c:pt idx="6">
                    <c:v>61.028271080298737</c:v>
                  </c:pt>
                  <c:pt idx="7">
                    <c:v>85.23245346418517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'HC5'!$O$20:$O$27</c:f>
              <c:strCache>
                <c:ptCount val="8"/>
                <c:pt idx="0">
                  <c:v>0058</c:v>
                </c:pt>
                <c:pt idx="1">
                  <c:v>2328</c:v>
                </c:pt>
                <c:pt idx="2">
                  <c:v>2329</c:v>
                </c:pt>
                <c:pt idx="3">
                  <c:v>2330</c:v>
                </c:pt>
                <c:pt idx="4">
                  <c:v>2331</c:v>
                </c:pt>
                <c:pt idx="5">
                  <c:v>2332</c:v>
                </c:pt>
                <c:pt idx="6">
                  <c:v>2333</c:v>
                </c:pt>
                <c:pt idx="7">
                  <c:v>2334</c:v>
                </c:pt>
              </c:strCache>
            </c:strRef>
          </c:cat>
          <c:val>
            <c:numRef>
              <c:f>'HC5'!$P$20:$P$27</c:f>
              <c:numCache>
                <c:formatCode>0.00</c:formatCode>
                <c:ptCount val="8"/>
                <c:pt idx="0">
                  <c:v>402.38743874068928</c:v>
                </c:pt>
                <c:pt idx="1">
                  <c:v>531.25530981599604</c:v>
                </c:pt>
                <c:pt idx="2">
                  <c:v>534.74163542059352</c:v>
                </c:pt>
                <c:pt idx="3">
                  <c:v>513.98570329303084</c:v>
                </c:pt>
                <c:pt idx="4">
                  <c:v>590.72702020185307</c:v>
                </c:pt>
                <c:pt idx="5">
                  <c:v>513.85780732127216</c:v>
                </c:pt>
                <c:pt idx="6">
                  <c:v>500.75957955630236</c:v>
                </c:pt>
                <c:pt idx="7">
                  <c:v>525.32739865378392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0-4194-BF9B-36224ED3C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745504"/>
        <c:axId val="1058905296"/>
      </c:barChart>
      <c:catAx>
        <c:axId val="10787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05296"/>
        <c:crosses val="autoZero"/>
        <c:auto val="1"/>
        <c:lblAlgn val="ctr"/>
        <c:lblOffset val="100"/>
        <c:noMultiLvlLbl val="0"/>
      </c:catAx>
      <c:valAx>
        <c:axId val="10589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Adalimumab [mg/kg]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793212306794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4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471919</xdr:colOff>
      <xdr:row>0</xdr:row>
      <xdr:rowOff>187037</xdr:rowOff>
    </xdr:from>
    <xdr:to>
      <xdr:col>21</xdr:col>
      <xdr:colOff>471919</xdr:colOff>
      <xdr:row>15</xdr:row>
      <xdr:rowOff>55419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925F68-CF33-1B08-89C0-1FE7DCED9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47624</xdr:colOff>
      <xdr:row>0</xdr:row>
      <xdr:rowOff>187037</xdr:rowOff>
    </xdr:from>
    <xdr:to>
      <xdr:col>15</xdr:col>
      <xdr:colOff>47624</xdr:colOff>
      <xdr:row>15</xdr:row>
      <xdr:rowOff>64078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7BE80D-9BC4-9D36-2C51-930D68D67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</xdr:row>
      <xdr:rowOff>52387</xdr:rowOff>
    </xdr:from>
    <xdr:to>
      <xdr:col>17</xdr:col>
      <xdr:colOff>533400</xdr:colOff>
      <xdr:row>15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4FF92C-1846-D7C1-176D-8172EA594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236E-5EE9-6A4A-898E-AC0ED74CE576}">
  <sheetPr>
    <pageSetUpPr fitToPage="1"/>
  </sheetPr>
  <dimension ref="A1:Q77"/>
  <sheetViews>
    <sheetView tabSelected="1" zoomScale="110" zoomScaleNormal="110" workbookViewId="0">
      <selection activeCell="O18" activeCellId="1" sqref="K18:L26 O18:O26"/>
    </sheetView>
  </sheetViews>
  <sheetFormatPr defaultColWidth="11.42578125" defaultRowHeight="15" x14ac:dyDescent="0.25"/>
  <sheetData>
    <row r="1" spans="1:8" ht="15.75" x14ac:dyDescent="0.25">
      <c r="A1" s="5" t="s">
        <v>16</v>
      </c>
      <c r="B1" s="5"/>
      <c r="C1" s="5"/>
      <c r="D1" s="5"/>
      <c r="E1" s="5"/>
      <c r="F1" s="5"/>
      <c r="G1" s="5"/>
      <c r="H1" s="5"/>
    </row>
    <row r="3" spans="1:8" x14ac:dyDescent="0.25">
      <c r="A3" s="8" t="s">
        <v>17</v>
      </c>
      <c r="B3" s="8"/>
      <c r="C3" s="8"/>
      <c r="D3" s="8"/>
      <c r="E3" s="8"/>
      <c r="F3" s="8"/>
      <c r="G3" s="8"/>
      <c r="H3" s="8"/>
    </row>
    <row r="4" spans="1:8" x14ac:dyDescent="0.25">
      <c r="A4" s="8"/>
      <c r="B4" s="8"/>
      <c r="C4" s="8"/>
      <c r="D4" s="9"/>
      <c r="E4" s="8"/>
      <c r="F4" s="8"/>
      <c r="G4" s="8"/>
      <c r="H4" s="8"/>
    </row>
    <row r="5" spans="1:8" x14ac:dyDescent="0.25">
      <c r="A5" s="8" t="s">
        <v>0</v>
      </c>
      <c r="B5" s="8"/>
      <c r="C5" s="8"/>
      <c r="D5" s="8"/>
      <c r="E5" s="8"/>
      <c r="F5" s="8"/>
      <c r="G5" s="8"/>
      <c r="H5" s="8"/>
    </row>
    <row r="6" spans="1:8" x14ac:dyDescent="0.25">
      <c r="A6" s="8" t="s">
        <v>18</v>
      </c>
      <c r="B6" s="8"/>
      <c r="C6" s="8"/>
      <c r="D6" s="8"/>
      <c r="E6" s="8"/>
      <c r="F6" s="8" t="s">
        <v>1</v>
      </c>
      <c r="G6" s="8"/>
      <c r="H6" s="8"/>
    </row>
    <row r="7" spans="1:8" x14ac:dyDescent="0.25">
      <c r="A7" s="8" t="s">
        <v>19</v>
      </c>
      <c r="B7" s="8"/>
      <c r="C7" s="3"/>
      <c r="D7" s="8"/>
      <c r="E7" s="8"/>
      <c r="F7" s="8"/>
      <c r="G7" s="8"/>
      <c r="H7" s="8"/>
    </row>
    <row r="8" spans="1:8" x14ac:dyDescent="0.25">
      <c r="A8" s="8" t="s">
        <v>20</v>
      </c>
      <c r="B8" s="8"/>
      <c r="C8" s="3"/>
      <c r="D8" s="8"/>
      <c r="E8" s="8"/>
      <c r="F8" s="8"/>
      <c r="G8" s="8"/>
      <c r="H8" s="8"/>
    </row>
    <row r="9" spans="1:8" x14ac:dyDescent="0.25">
      <c r="A9" s="8" t="s">
        <v>21</v>
      </c>
      <c r="B9" s="8"/>
      <c r="C9" s="3"/>
      <c r="D9" s="8"/>
      <c r="E9" s="8"/>
      <c r="F9" s="8"/>
      <c r="G9" s="8"/>
      <c r="H9" s="8"/>
    </row>
    <row r="10" spans="1:8" x14ac:dyDescent="0.25">
      <c r="A10" s="8" t="s">
        <v>22</v>
      </c>
      <c r="B10" s="8"/>
      <c r="C10" s="3"/>
      <c r="D10" s="8"/>
      <c r="E10" s="8"/>
      <c r="F10" s="8"/>
      <c r="G10" s="8"/>
      <c r="H10" s="8"/>
    </row>
    <row r="11" spans="1:8" x14ac:dyDescent="0.25">
      <c r="A11" s="8" t="s">
        <v>23</v>
      </c>
      <c r="B11" s="8"/>
      <c r="C11" s="3"/>
      <c r="D11" s="8"/>
      <c r="E11" s="8"/>
      <c r="F11" s="8"/>
      <c r="G11" s="8"/>
      <c r="H11" s="8"/>
    </row>
    <row r="12" spans="1:8" x14ac:dyDescent="0.25">
      <c r="A12" s="8" t="s">
        <v>24</v>
      </c>
      <c r="B12" s="8"/>
      <c r="C12" s="3"/>
      <c r="D12" s="8"/>
      <c r="E12" s="8"/>
      <c r="F12" s="8"/>
      <c r="G12" s="8"/>
      <c r="H12" s="8"/>
    </row>
    <row r="13" spans="1:8" x14ac:dyDescent="0.25">
      <c r="A13" s="8" t="s">
        <v>25</v>
      </c>
      <c r="B13" s="8"/>
      <c r="C13" s="3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 t="s">
        <v>26</v>
      </c>
      <c r="B15" s="8"/>
      <c r="C15" s="8"/>
      <c r="D15" s="8"/>
      <c r="E15" s="8"/>
      <c r="F15" s="8"/>
      <c r="G15" s="8"/>
      <c r="H15" s="8"/>
    </row>
    <row r="16" spans="1:8" x14ac:dyDescent="0.25">
      <c r="A16" s="8" t="s">
        <v>27</v>
      </c>
      <c r="B16" s="8"/>
      <c r="C16" s="8"/>
      <c r="D16" s="8"/>
      <c r="E16" s="8"/>
      <c r="F16" s="8"/>
      <c r="G16" s="8"/>
      <c r="H16" s="8"/>
    </row>
    <row r="17" spans="1:17" ht="53.1" customHeight="1" x14ac:dyDescent="0.25">
      <c r="A17" s="10" t="s">
        <v>2</v>
      </c>
      <c r="B17" s="10" t="s">
        <v>3</v>
      </c>
      <c r="C17" s="10" t="s">
        <v>4</v>
      </c>
      <c r="D17" s="10" t="s">
        <v>5</v>
      </c>
      <c r="E17" s="10" t="s">
        <v>6</v>
      </c>
      <c r="F17" s="10" t="s">
        <v>7</v>
      </c>
      <c r="G17" s="10" t="s">
        <v>8</v>
      </c>
      <c r="H17" s="10" t="s">
        <v>9</v>
      </c>
    </row>
    <row r="18" spans="1:17" x14ac:dyDescent="0.25">
      <c r="A18" s="8" t="s">
        <v>10</v>
      </c>
      <c r="B18" s="8">
        <v>116</v>
      </c>
      <c r="C18" s="8">
        <v>56.965000000000003</v>
      </c>
      <c r="D18" s="11">
        <f>C18*B18</f>
        <v>6607.9400000000005</v>
      </c>
      <c r="E18" s="8">
        <v>29.68</v>
      </c>
      <c r="F18" s="11">
        <f t="shared" ref="F18:F46" si="0">D18/E18</f>
        <v>222.63948787061997</v>
      </c>
      <c r="G18" s="11">
        <f>AVERAGE(F18:F21)</f>
        <v>279.60004051562339</v>
      </c>
      <c r="H18" s="11">
        <f>_xlfn.STDEV.S(F18:F21)</f>
        <v>52.405986813757082</v>
      </c>
      <c r="K18" s="8"/>
      <c r="L18" s="8" t="s">
        <v>63</v>
      </c>
      <c r="M18" s="8" t="s">
        <v>11</v>
      </c>
      <c r="N18" s="8"/>
      <c r="O18" s="8" t="s">
        <v>64</v>
      </c>
      <c r="P18" s="8" t="s">
        <v>11</v>
      </c>
    </row>
    <row r="19" spans="1:17" x14ac:dyDescent="0.25">
      <c r="A19" s="8" t="s">
        <v>12</v>
      </c>
      <c r="B19" s="8">
        <v>49</v>
      </c>
      <c r="C19" s="11">
        <v>67.42</v>
      </c>
      <c r="D19" s="11">
        <f t="shared" ref="D19:D31" si="1">C19*B19</f>
        <v>3303.58</v>
      </c>
      <c r="E19" s="8">
        <v>13.11</v>
      </c>
      <c r="F19" s="11">
        <f t="shared" si="0"/>
        <v>251.98932112890924</v>
      </c>
      <c r="G19" s="11"/>
      <c r="H19" s="11"/>
      <c r="K19" s="15" t="s">
        <v>13</v>
      </c>
      <c r="L19" s="11">
        <f>G18</f>
        <v>279.60004051562339</v>
      </c>
      <c r="M19" s="11">
        <f>H18</f>
        <v>52.405986813757082</v>
      </c>
      <c r="N19" s="11" t="s">
        <v>13</v>
      </c>
      <c r="O19" s="11">
        <v>402.38743874068928</v>
      </c>
      <c r="P19" s="11">
        <v>50.806065225336091</v>
      </c>
      <c r="Q19" s="1"/>
    </row>
    <row r="20" spans="1:17" x14ac:dyDescent="0.25">
      <c r="A20" s="8" t="s">
        <v>14</v>
      </c>
      <c r="B20" s="8">
        <v>136</v>
      </c>
      <c r="C20" s="11">
        <v>77.06</v>
      </c>
      <c r="D20" s="11">
        <f t="shared" si="1"/>
        <v>10480.16</v>
      </c>
      <c r="E20" s="8">
        <v>34.5</v>
      </c>
      <c r="F20" s="11">
        <f t="shared" si="0"/>
        <v>303.77275362318841</v>
      </c>
      <c r="G20" s="11"/>
      <c r="H20" s="11"/>
      <c r="K20" s="8">
        <v>2328</v>
      </c>
      <c r="L20" s="11">
        <f>G23</f>
        <v>573.90557500318027</v>
      </c>
      <c r="M20" s="11">
        <f>H23</f>
        <v>120.43555658084541</v>
      </c>
      <c r="N20" s="11">
        <v>2328</v>
      </c>
      <c r="O20" s="11">
        <v>531.25530981599604</v>
      </c>
      <c r="P20" s="11">
        <v>56.659889124167471</v>
      </c>
      <c r="Q20" s="1"/>
    </row>
    <row r="21" spans="1:17" x14ac:dyDescent="0.25">
      <c r="A21" s="8" t="s">
        <v>15</v>
      </c>
      <c r="B21" s="8">
        <v>116</v>
      </c>
      <c r="C21" s="11">
        <v>83.71</v>
      </c>
      <c r="D21" s="11">
        <f t="shared" si="1"/>
        <v>9710.3599999999988</v>
      </c>
      <c r="E21" s="8">
        <v>28.56</v>
      </c>
      <c r="F21" s="11">
        <f t="shared" si="0"/>
        <v>339.99859943977589</v>
      </c>
      <c r="G21" s="11"/>
      <c r="H21" s="11"/>
      <c r="K21" s="8">
        <v>2329</v>
      </c>
      <c r="L21" s="11">
        <f>G28</f>
        <v>488.95690110012436</v>
      </c>
      <c r="M21" s="11">
        <f>H28</f>
        <v>89.264554883957345</v>
      </c>
      <c r="N21" s="11">
        <v>2329</v>
      </c>
      <c r="O21" s="11">
        <v>534.74163542059352</v>
      </c>
      <c r="P21" s="11">
        <v>57.332443556781946</v>
      </c>
      <c r="Q21" s="1"/>
    </row>
    <row r="22" spans="1:17" x14ac:dyDescent="0.25">
      <c r="A22" s="8"/>
      <c r="B22" s="8"/>
      <c r="C22" s="11"/>
      <c r="D22" s="11"/>
      <c r="E22" s="8"/>
      <c r="F22" s="11"/>
      <c r="G22" s="11"/>
      <c r="H22" s="11"/>
      <c r="K22" s="8">
        <v>2330</v>
      </c>
      <c r="L22" s="11">
        <f>G33</f>
        <v>478.97042666540995</v>
      </c>
      <c r="M22" s="11">
        <f>H33</f>
        <v>48.684901479435595</v>
      </c>
      <c r="N22" s="8">
        <v>2330</v>
      </c>
      <c r="O22" s="11">
        <v>513.98570329303084</v>
      </c>
      <c r="P22" s="11">
        <v>69.200693237749419</v>
      </c>
    </row>
    <row r="23" spans="1:17" x14ac:dyDescent="0.25">
      <c r="A23" s="8" t="s">
        <v>28</v>
      </c>
      <c r="B23" s="8">
        <v>110</v>
      </c>
      <c r="C23" s="12">
        <v>177.43333333333331</v>
      </c>
      <c r="D23" s="13">
        <f t="shared" si="1"/>
        <v>19517.666666666664</v>
      </c>
      <c r="E23" s="8">
        <v>27.9</v>
      </c>
      <c r="F23" s="11">
        <f t="shared" si="0"/>
        <v>699.55794504181597</v>
      </c>
      <c r="G23" s="11">
        <f>AVERAGE(F23:F26)</f>
        <v>573.90557500318027</v>
      </c>
      <c r="H23" s="11">
        <f>_xlfn.STDEV.S(F23:F26)</f>
        <v>120.43555658084541</v>
      </c>
      <c r="K23" s="8">
        <v>2331</v>
      </c>
      <c r="L23" s="12">
        <f>G38</f>
        <v>574.67587572323305</v>
      </c>
      <c r="M23" s="12">
        <f>H38</f>
        <v>50.015136640586064</v>
      </c>
      <c r="N23" s="8">
        <v>2331</v>
      </c>
      <c r="O23" s="11">
        <v>590.72702020185307</v>
      </c>
      <c r="P23" s="11">
        <v>97.790145610730846</v>
      </c>
    </row>
    <row r="24" spans="1:17" x14ac:dyDescent="0.25">
      <c r="A24" s="8" t="s">
        <v>29</v>
      </c>
      <c r="B24" s="8">
        <v>98</v>
      </c>
      <c r="C24" s="13">
        <v>115.43333333333332</v>
      </c>
      <c r="D24" s="13">
        <f t="shared" si="1"/>
        <v>11312.466666666665</v>
      </c>
      <c r="E24" s="8">
        <v>24.26</v>
      </c>
      <c r="F24" s="11">
        <f t="shared" si="0"/>
        <v>466.3011816433085</v>
      </c>
      <c r="G24" s="11"/>
      <c r="H24" s="11"/>
      <c r="K24" s="8">
        <v>2332</v>
      </c>
      <c r="L24" s="4">
        <f>G43</f>
        <v>493.1315723939702</v>
      </c>
      <c r="M24" s="4">
        <f>H43</f>
        <v>83.968149991528691</v>
      </c>
      <c r="N24" s="8">
        <v>2332</v>
      </c>
      <c r="O24" s="11">
        <v>513.85780732127216</v>
      </c>
      <c r="P24" s="11">
        <v>26.85960143468418</v>
      </c>
    </row>
    <row r="25" spans="1:17" x14ac:dyDescent="0.25">
      <c r="A25" s="8" t="s">
        <v>30</v>
      </c>
      <c r="B25" s="8">
        <v>98</v>
      </c>
      <c r="C25" s="11">
        <v>161.30000000000001</v>
      </c>
      <c r="D25" s="11">
        <f t="shared" si="1"/>
        <v>15807.400000000001</v>
      </c>
      <c r="E25" s="8">
        <v>24.16</v>
      </c>
      <c r="F25" s="11">
        <f t="shared" si="0"/>
        <v>654.27980132450341</v>
      </c>
      <c r="G25" s="11"/>
      <c r="H25" s="11"/>
      <c r="K25" s="8">
        <v>2333</v>
      </c>
      <c r="L25" s="11">
        <f>G48</f>
        <v>494.71899793379936</v>
      </c>
      <c r="M25" s="11">
        <f>H48</f>
        <v>86.63664559233068</v>
      </c>
      <c r="N25" s="8">
        <v>2333</v>
      </c>
      <c r="O25" s="11">
        <v>500.75957955630236</v>
      </c>
      <c r="P25" s="11">
        <v>61.028271080298737</v>
      </c>
    </row>
    <row r="26" spans="1:17" x14ac:dyDescent="0.25">
      <c r="A26" s="8" t="s">
        <v>31</v>
      </c>
      <c r="B26" s="8">
        <v>106</v>
      </c>
      <c r="C26" s="11">
        <v>116</v>
      </c>
      <c r="D26" s="11">
        <f t="shared" si="1"/>
        <v>12296</v>
      </c>
      <c r="E26" s="8">
        <v>25.86</v>
      </c>
      <c r="F26" s="11">
        <f t="shared" si="0"/>
        <v>475.48337200309356</v>
      </c>
      <c r="G26" s="11"/>
      <c r="H26" s="11"/>
      <c r="K26" s="8">
        <v>2334</v>
      </c>
      <c r="L26" s="11">
        <f>G53</f>
        <v>464.96752306460968</v>
      </c>
      <c r="M26" s="11">
        <f>H53</f>
        <v>56.659377995246658</v>
      </c>
      <c r="N26" s="8">
        <v>2334</v>
      </c>
      <c r="O26" s="11">
        <v>525.32739865378392</v>
      </c>
      <c r="P26" s="11">
        <v>85.23245346418517</v>
      </c>
    </row>
    <row r="27" spans="1:17" x14ac:dyDescent="0.25">
      <c r="A27" s="8"/>
      <c r="B27" s="8"/>
      <c r="C27" s="11"/>
      <c r="D27" s="11"/>
      <c r="E27" s="8"/>
      <c r="F27" s="11"/>
      <c r="G27" s="11"/>
      <c r="H27" s="11"/>
    </row>
    <row r="28" spans="1:17" x14ac:dyDescent="0.25">
      <c r="A28" s="8" t="s">
        <v>32</v>
      </c>
      <c r="B28" s="8">
        <v>89</v>
      </c>
      <c r="C28" s="11">
        <v>106</v>
      </c>
      <c r="D28" s="11">
        <f t="shared" si="1"/>
        <v>9434</v>
      </c>
      <c r="E28" s="8">
        <v>22.33</v>
      </c>
      <c r="F28" s="11">
        <f t="shared" si="0"/>
        <v>422.48096730855355</v>
      </c>
      <c r="G28" s="11">
        <f>AVERAGE(F28:F31)</f>
        <v>488.95690110012436</v>
      </c>
      <c r="H28" s="11">
        <f>_xlfn.STDEV.S(F28:F31)</f>
        <v>89.264554883957345</v>
      </c>
    </row>
    <row r="29" spans="1:17" x14ac:dyDescent="0.25">
      <c r="A29" s="8" t="s">
        <v>33</v>
      </c>
      <c r="B29" s="8">
        <v>88</v>
      </c>
      <c r="C29" s="11">
        <v>145.69999999999999</v>
      </c>
      <c r="D29" s="11">
        <f t="shared" si="1"/>
        <v>12821.599999999999</v>
      </c>
      <c r="E29" s="8">
        <v>22.5</v>
      </c>
      <c r="F29" s="11">
        <f t="shared" si="0"/>
        <v>569.84888888888884</v>
      </c>
      <c r="G29" s="11"/>
      <c r="H29" s="11"/>
    </row>
    <row r="30" spans="1:17" x14ac:dyDescent="0.25">
      <c r="A30" s="8" t="s">
        <v>34</v>
      </c>
      <c r="B30" s="8">
        <v>110</v>
      </c>
      <c r="C30" s="11">
        <v>137.30000000000001</v>
      </c>
      <c r="D30" s="11">
        <f t="shared" si="1"/>
        <v>15103.000000000002</v>
      </c>
      <c r="E30" s="8">
        <v>26.88</v>
      </c>
      <c r="F30" s="11">
        <f t="shared" si="0"/>
        <v>561.86755952380963</v>
      </c>
      <c r="G30" s="11"/>
      <c r="H30" s="11"/>
    </row>
    <row r="31" spans="1:17" x14ac:dyDescent="0.25">
      <c r="A31" s="8" t="s">
        <v>35</v>
      </c>
      <c r="B31" s="8">
        <v>128</v>
      </c>
      <c r="C31" s="11">
        <v>99.78</v>
      </c>
      <c r="D31" s="11">
        <f t="shared" si="1"/>
        <v>12771.84</v>
      </c>
      <c r="E31" s="8">
        <v>31.8</v>
      </c>
      <c r="F31" s="11">
        <f t="shared" si="0"/>
        <v>401.63018867924529</v>
      </c>
      <c r="G31" s="11"/>
      <c r="H31" s="11"/>
    </row>
    <row r="32" spans="1:17" x14ac:dyDescent="0.25">
      <c r="A32" s="14"/>
      <c r="B32" s="14"/>
      <c r="C32" s="14"/>
      <c r="D32" s="14"/>
      <c r="E32" s="14"/>
      <c r="F32" s="14"/>
      <c r="G32" s="14"/>
      <c r="H32" s="14"/>
    </row>
    <row r="33" spans="1:8" x14ac:dyDescent="0.25">
      <c r="A33" s="8" t="s">
        <v>36</v>
      </c>
      <c r="B33" s="8">
        <v>120</v>
      </c>
      <c r="C33" s="11">
        <v>142</v>
      </c>
      <c r="D33" s="11">
        <f t="shared" ref="D33:D46" si="2">C33*B33</f>
        <v>17040</v>
      </c>
      <c r="E33" s="8">
        <v>31.4</v>
      </c>
      <c r="F33" s="11">
        <f t="shared" si="0"/>
        <v>542.67515923566884</v>
      </c>
      <c r="G33" s="11">
        <f>AVERAGE(F33:F36)</f>
        <v>478.97042666540995</v>
      </c>
      <c r="H33" s="11">
        <f>_xlfn.STDEV.S(F33:F36)</f>
        <v>48.684901479435595</v>
      </c>
    </row>
    <row r="34" spans="1:8" x14ac:dyDescent="0.25">
      <c r="A34" s="8" t="s">
        <v>37</v>
      </c>
      <c r="B34" s="8">
        <v>101</v>
      </c>
      <c r="C34" s="11">
        <v>116.8</v>
      </c>
      <c r="D34" s="11">
        <f t="shared" si="2"/>
        <v>11796.8</v>
      </c>
      <c r="E34" s="8">
        <v>25</v>
      </c>
      <c r="F34" s="11">
        <f t="shared" si="0"/>
        <v>471.87199999999996</v>
      </c>
      <c r="G34" s="11"/>
      <c r="H34" s="11"/>
    </row>
    <row r="35" spans="1:8" x14ac:dyDescent="0.25">
      <c r="A35" s="8" t="s">
        <v>38</v>
      </c>
      <c r="B35" s="8">
        <v>137</v>
      </c>
      <c r="C35" s="11">
        <v>111.1</v>
      </c>
      <c r="D35" s="11">
        <f t="shared" si="2"/>
        <v>15220.699999999999</v>
      </c>
      <c r="E35" s="8">
        <v>35.880000000000003</v>
      </c>
      <c r="F35" s="11">
        <f t="shared" si="0"/>
        <v>424.21125975473797</v>
      </c>
      <c r="G35" s="11"/>
      <c r="H35" s="11"/>
    </row>
    <row r="36" spans="1:8" x14ac:dyDescent="0.25">
      <c r="A36" s="8" t="s">
        <v>39</v>
      </c>
      <c r="B36" s="8">
        <v>114</v>
      </c>
      <c r="C36" s="11">
        <v>116.1</v>
      </c>
      <c r="D36" s="11">
        <f t="shared" si="2"/>
        <v>13235.4</v>
      </c>
      <c r="E36" s="8">
        <v>27.74</v>
      </c>
      <c r="F36" s="11">
        <f t="shared" si="0"/>
        <v>477.1232876712329</v>
      </c>
      <c r="G36" s="8"/>
      <c r="H36" s="8"/>
    </row>
    <row r="37" spans="1:8" x14ac:dyDescent="0.25">
      <c r="A37" s="8"/>
      <c r="B37" s="8"/>
      <c r="C37" s="11"/>
      <c r="D37" s="11"/>
      <c r="E37" s="8"/>
      <c r="F37" s="11"/>
      <c r="G37" s="11"/>
      <c r="H37" s="8"/>
    </row>
    <row r="38" spans="1:8" x14ac:dyDescent="0.25">
      <c r="A38" s="8" t="s">
        <v>40</v>
      </c>
      <c r="B38" s="8">
        <v>117</v>
      </c>
      <c r="C38" s="11">
        <v>155.1</v>
      </c>
      <c r="D38" s="11">
        <f t="shared" si="2"/>
        <v>18146.7</v>
      </c>
      <c r="E38" s="8">
        <v>29.64</v>
      </c>
      <c r="F38" s="11">
        <f t="shared" si="0"/>
        <v>612.23684210526312</v>
      </c>
      <c r="G38" s="11">
        <f>AVERAGE(F38:F41)</f>
        <v>574.67587572323305</v>
      </c>
      <c r="H38" s="11">
        <f>_xlfn.STDEV.S(F38:F41)</f>
        <v>50.015136640586064</v>
      </c>
    </row>
    <row r="39" spans="1:8" x14ac:dyDescent="0.25">
      <c r="A39" s="8" t="s">
        <v>41</v>
      </c>
      <c r="B39" s="8">
        <v>119</v>
      </c>
      <c r="C39" s="11">
        <v>143.69999999999999</v>
      </c>
      <c r="D39" s="11">
        <f t="shared" si="2"/>
        <v>17100.3</v>
      </c>
      <c r="E39" s="8">
        <v>29.23</v>
      </c>
      <c r="F39" s="11">
        <f t="shared" si="0"/>
        <v>585.02565856996239</v>
      </c>
      <c r="G39" s="8"/>
      <c r="H39" s="11"/>
    </row>
    <row r="40" spans="1:8" x14ac:dyDescent="0.25">
      <c r="A40" s="8" t="s">
        <v>42</v>
      </c>
      <c r="B40" s="8">
        <v>86</v>
      </c>
      <c r="C40" s="11">
        <v>124.8</v>
      </c>
      <c r="D40" s="11">
        <f t="shared" si="2"/>
        <v>10732.8</v>
      </c>
      <c r="E40" s="8">
        <v>21.4</v>
      </c>
      <c r="F40" s="11">
        <f t="shared" si="0"/>
        <v>501.53271028037381</v>
      </c>
      <c r="G40" s="8"/>
      <c r="H40" s="11"/>
    </row>
    <row r="41" spans="1:8" x14ac:dyDescent="0.25">
      <c r="A41" s="8" t="s">
        <v>43</v>
      </c>
      <c r="B41" s="8">
        <v>98</v>
      </c>
      <c r="C41" s="11">
        <v>160.19999999999999</v>
      </c>
      <c r="D41" s="11">
        <f t="shared" si="2"/>
        <v>15699.599999999999</v>
      </c>
      <c r="E41" s="8">
        <v>26.17</v>
      </c>
      <c r="F41" s="11">
        <f t="shared" si="0"/>
        <v>599.90829193733271</v>
      </c>
      <c r="G41" s="8"/>
      <c r="H41" s="11"/>
    </row>
    <row r="42" spans="1:8" x14ac:dyDescent="0.25">
      <c r="A42" s="8"/>
      <c r="B42" s="8"/>
      <c r="C42" s="11"/>
      <c r="D42" s="11"/>
      <c r="E42" s="8"/>
      <c r="F42" s="11"/>
      <c r="G42" s="11"/>
      <c r="H42" s="11"/>
    </row>
    <row r="43" spans="1:8" x14ac:dyDescent="0.25">
      <c r="A43" s="8" t="s">
        <v>44</v>
      </c>
      <c r="B43" s="8">
        <v>100</v>
      </c>
      <c r="C43" s="11">
        <v>103.6</v>
      </c>
      <c r="D43" s="11">
        <f t="shared" si="2"/>
        <v>10360</v>
      </c>
      <c r="E43" s="8">
        <v>25.86</v>
      </c>
      <c r="F43" s="11">
        <f t="shared" si="0"/>
        <v>400.61871616395979</v>
      </c>
      <c r="G43" s="11">
        <f>AVERAGE(F43:F46)</f>
        <v>493.1315723939702</v>
      </c>
      <c r="H43" s="11">
        <f>_xlfn.STDEV.S(F43:F46)</f>
        <v>83.968149991528691</v>
      </c>
    </row>
    <row r="44" spans="1:8" x14ac:dyDescent="0.25">
      <c r="A44" s="8" t="s">
        <v>45</v>
      </c>
      <c r="B44" s="8">
        <v>94</v>
      </c>
      <c r="C44" s="11">
        <v>134.1</v>
      </c>
      <c r="D44" s="11">
        <f t="shared" si="2"/>
        <v>12605.4</v>
      </c>
      <c r="E44" s="8">
        <v>23</v>
      </c>
      <c r="F44" s="11">
        <f t="shared" si="0"/>
        <v>548.06086956521733</v>
      </c>
      <c r="G44" s="11"/>
      <c r="H44" s="11"/>
    </row>
    <row r="45" spans="1:8" x14ac:dyDescent="0.25">
      <c r="A45" s="8" t="s">
        <v>46</v>
      </c>
      <c r="B45" s="8">
        <v>146</v>
      </c>
      <c r="C45" s="11">
        <v>110.6</v>
      </c>
      <c r="D45" s="11">
        <f t="shared" si="2"/>
        <v>16147.599999999999</v>
      </c>
      <c r="E45" s="8">
        <v>36.26</v>
      </c>
      <c r="F45" s="11">
        <f t="shared" si="0"/>
        <v>445.32818532818533</v>
      </c>
      <c r="G45" s="8"/>
      <c r="H45" s="11"/>
    </row>
    <row r="46" spans="1:8" x14ac:dyDescent="0.25">
      <c r="A46" s="8" t="s">
        <v>47</v>
      </c>
      <c r="B46" s="8">
        <v>110</v>
      </c>
      <c r="C46" s="11">
        <v>142</v>
      </c>
      <c r="D46" s="11">
        <f t="shared" si="2"/>
        <v>15620</v>
      </c>
      <c r="E46" s="8">
        <v>27</v>
      </c>
      <c r="F46" s="11">
        <f t="shared" si="0"/>
        <v>578.51851851851848</v>
      </c>
      <c r="G46" s="8"/>
      <c r="H46" s="11"/>
    </row>
    <row r="47" spans="1:8" x14ac:dyDescent="0.25">
      <c r="A47" s="14"/>
      <c r="B47" s="14"/>
      <c r="C47" s="14"/>
      <c r="D47" s="14"/>
      <c r="E47" s="14"/>
      <c r="F47" s="14"/>
      <c r="G47" s="14"/>
      <c r="H47" s="14"/>
    </row>
    <row r="48" spans="1:8" x14ac:dyDescent="0.25">
      <c r="A48" s="8" t="s">
        <v>48</v>
      </c>
      <c r="B48" s="8">
        <v>118</v>
      </c>
      <c r="C48" s="11">
        <v>99.91</v>
      </c>
      <c r="D48" s="11">
        <f t="shared" ref="D48:D56" si="3">C48*B48</f>
        <v>11789.38</v>
      </c>
      <c r="E48" s="8">
        <v>30.6</v>
      </c>
      <c r="F48" s="11">
        <f t="shared" ref="F48:F56" si="4">D48/E48</f>
        <v>385.27385620915027</v>
      </c>
      <c r="G48" s="11">
        <f>AVERAGE(F48:F51)</f>
        <v>494.71899793379936</v>
      </c>
      <c r="H48" s="11">
        <f>_xlfn.STDEV.S(F48:F51)</f>
        <v>86.63664559233068</v>
      </c>
    </row>
    <row r="49" spans="1:8" x14ac:dyDescent="0.25">
      <c r="A49" s="8" t="s">
        <v>49</v>
      </c>
      <c r="B49" s="8">
        <v>93</v>
      </c>
      <c r="C49" s="11">
        <v>142.30000000000001</v>
      </c>
      <c r="D49" s="11">
        <f t="shared" si="3"/>
        <v>13233.900000000001</v>
      </c>
      <c r="E49" s="8">
        <v>23.34</v>
      </c>
      <c r="F49" s="11">
        <f t="shared" si="4"/>
        <v>567.00514138817482</v>
      </c>
      <c r="G49" s="8"/>
      <c r="H49" s="11"/>
    </row>
    <row r="50" spans="1:8" x14ac:dyDescent="0.25">
      <c r="A50" s="8" t="s">
        <v>50</v>
      </c>
      <c r="B50" s="8">
        <v>116</v>
      </c>
      <c r="C50" s="11">
        <v>140.19999999999999</v>
      </c>
      <c r="D50" s="11">
        <f t="shared" si="3"/>
        <v>16263.199999999999</v>
      </c>
      <c r="E50" s="8">
        <v>28.97</v>
      </c>
      <c r="F50" s="11">
        <f t="shared" si="4"/>
        <v>561.3807386952019</v>
      </c>
      <c r="G50" s="8"/>
      <c r="H50" s="11"/>
    </row>
    <row r="51" spans="1:8" x14ac:dyDescent="0.25">
      <c r="A51" s="8" t="s">
        <v>51</v>
      </c>
      <c r="B51" s="8">
        <v>139</v>
      </c>
      <c r="C51" s="11">
        <v>115.3</v>
      </c>
      <c r="D51" s="11">
        <f t="shared" si="3"/>
        <v>16026.699999999999</v>
      </c>
      <c r="E51" s="8">
        <v>34.450000000000003</v>
      </c>
      <c r="F51" s="11">
        <f t="shared" si="4"/>
        <v>465.21625544267044</v>
      </c>
      <c r="G51" s="8"/>
      <c r="H51" s="11"/>
    </row>
    <row r="52" spans="1:8" x14ac:dyDescent="0.25">
      <c r="A52" s="8"/>
      <c r="B52" s="8"/>
      <c r="C52" s="8"/>
      <c r="D52" s="11"/>
      <c r="E52" s="8"/>
      <c r="F52" s="11"/>
      <c r="G52" s="8"/>
      <c r="H52" s="11"/>
    </row>
    <row r="53" spans="1:8" x14ac:dyDescent="0.25">
      <c r="A53" s="8" t="s">
        <v>52</v>
      </c>
      <c r="B53" s="8">
        <v>88</v>
      </c>
      <c r="C53" s="11">
        <v>105.9</v>
      </c>
      <c r="D53" s="11">
        <f t="shared" si="3"/>
        <v>9319.2000000000007</v>
      </c>
      <c r="E53" s="8">
        <v>23.38</v>
      </c>
      <c r="F53" s="11">
        <f t="shared" si="4"/>
        <v>398.59709153122333</v>
      </c>
      <c r="G53" s="11">
        <f>AVERAGE(F53:F56)</f>
        <v>464.96752306460968</v>
      </c>
      <c r="H53" s="11">
        <f>_xlfn.STDEV.S(F53:F56)</f>
        <v>56.659377995246658</v>
      </c>
    </row>
    <row r="54" spans="1:8" x14ac:dyDescent="0.25">
      <c r="A54" s="8" t="s">
        <v>53</v>
      </c>
      <c r="B54" s="8">
        <v>148</v>
      </c>
      <c r="C54" s="11">
        <v>108.7</v>
      </c>
      <c r="D54" s="11">
        <f t="shared" si="3"/>
        <v>16087.6</v>
      </c>
      <c r="E54" s="8">
        <v>36.81</v>
      </c>
      <c r="F54" s="11">
        <f t="shared" si="4"/>
        <v>437.0442814452594</v>
      </c>
      <c r="G54" s="8"/>
      <c r="H54" s="11"/>
    </row>
    <row r="55" spans="1:8" x14ac:dyDescent="0.25">
      <c r="A55" s="8" t="s">
        <v>54</v>
      </c>
      <c r="B55" s="8">
        <v>130</v>
      </c>
      <c r="C55" s="11">
        <v>127.4</v>
      </c>
      <c r="D55" s="11">
        <f t="shared" si="3"/>
        <v>16562</v>
      </c>
      <c r="E55" s="8">
        <v>32.31</v>
      </c>
      <c r="F55" s="11">
        <f t="shared" si="4"/>
        <v>512.59671928195598</v>
      </c>
      <c r="G55" s="8"/>
      <c r="H55" s="11"/>
    </row>
    <row r="56" spans="1:8" x14ac:dyDescent="0.25">
      <c r="A56" s="8" t="s">
        <v>55</v>
      </c>
      <c r="B56" s="8">
        <v>102</v>
      </c>
      <c r="C56" s="11">
        <v>125.4</v>
      </c>
      <c r="D56" s="11">
        <f t="shared" si="3"/>
        <v>12790.800000000001</v>
      </c>
      <c r="E56" s="8">
        <v>25</v>
      </c>
      <c r="F56" s="11">
        <f t="shared" si="4"/>
        <v>511.63200000000006</v>
      </c>
      <c r="G56" s="8"/>
      <c r="H56" s="11"/>
    </row>
    <row r="57" spans="1:8" x14ac:dyDescent="0.25">
      <c r="D57" s="1"/>
      <c r="F57" s="1"/>
      <c r="H57" s="1"/>
    </row>
    <row r="58" spans="1:8" x14ac:dyDescent="0.25">
      <c r="C58" s="1"/>
      <c r="D58" s="1"/>
      <c r="F58" s="1"/>
      <c r="G58" s="1"/>
      <c r="H58" s="1"/>
    </row>
    <row r="59" spans="1:8" x14ac:dyDescent="0.25">
      <c r="C59" s="1"/>
      <c r="D59" s="1"/>
      <c r="F59" s="1"/>
      <c r="H59" s="1"/>
    </row>
    <row r="60" spans="1:8" x14ac:dyDescent="0.25">
      <c r="C60" s="1"/>
      <c r="D60" s="1"/>
      <c r="F60" s="1"/>
      <c r="H60" s="1"/>
    </row>
    <row r="61" spans="1:8" x14ac:dyDescent="0.25">
      <c r="C61" s="1"/>
      <c r="D61" s="1"/>
      <c r="F61" s="1"/>
      <c r="H61" s="1"/>
    </row>
    <row r="62" spans="1:8" x14ac:dyDescent="0.25">
      <c r="C62" s="1"/>
      <c r="D62" s="1"/>
      <c r="F62" s="1"/>
      <c r="H62" s="1"/>
    </row>
    <row r="63" spans="1:8" x14ac:dyDescent="0.25">
      <c r="C63" s="1"/>
      <c r="D63" s="1"/>
      <c r="F63" s="1"/>
      <c r="H63" s="1"/>
    </row>
    <row r="64" spans="1:8" x14ac:dyDescent="0.25">
      <c r="D64" s="1"/>
      <c r="F64" s="1"/>
      <c r="H64" s="1"/>
    </row>
    <row r="65" spans="3:8" x14ac:dyDescent="0.25">
      <c r="C65" s="1"/>
      <c r="D65" s="1"/>
      <c r="F65" s="1"/>
      <c r="G65" s="1"/>
      <c r="H65" s="1"/>
    </row>
    <row r="66" spans="3:8" x14ac:dyDescent="0.25">
      <c r="C66" s="1"/>
      <c r="D66" s="1"/>
      <c r="F66" s="1"/>
      <c r="H66" s="1"/>
    </row>
    <row r="67" spans="3:8" x14ac:dyDescent="0.25">
      <c r="C67" s="1"/>
      <c r="D67" s="1"/>
      <c r="F67" s="1"/>
      <c r="H67" s="1"/>
    </row>
    <row r="68" spans="3:8" x14ac:dyDescent="0.25">
      <c r="C68" s="1"/>
      <c r="D68" s="1"/>
      <c r="F68" s="1"/>
      <c r="H68" s="1"/>
    </row>
    <row r="69" spans="3:8" x14ac:dyDescent="0.25">
      <c r="C69" s="1"/>
      <c r="D69" s="1"/>
      <c r="F69" s="1"/>
      <c r="H69" s="1"/>
    </row>
    <row r="70" spans="3:8" x14ac:dyDescent="0.25">
      <c r="C70" s="1"/>
      <c r="D70" s="1"/>
      <c r="F70" s="1"/>
      <c r="H70" s="1"/>
    </row>
    <row r="71" spans="3:8" x14ac:dyDescent="0.25">
      <c r="D71" s="1"/>
      <c r="F71" s="1"/>
      <c r="H71" s="1"/>
    </row>
    <row r="72" spans="3:8" x14ac:dyDescent="0.25">
      <c r="C72" s="1"/>
      <c r="D72" s="1"/>
      <c r="F72" s="1"/>
      <c r="G72" s="1"/>
      <c r="H72" s="1"/>
    </row>
    <row r="73" spans="3:8" x14ac:dyDescent="0.25">
      <c r="C73" s="1"/>
      <c r="D73" s="1"/>
      <c r="F73" s="1"/>
    </row>
    <row r="74" spans="3:8" x14ac:dyDescent="0.25">
      <c r="C74" s="1"/>
      <c r="D74" s="1"/>
      <c r="F74" s="1"/>
    </row>
    <row r="75" spans="3:8" x14ac:dyDescent="0.25">
      <c r="C75" s="1"/>
      <c r="D75" s="1"/>
      <c r="F75" s="1"/>
    </row>
    <row r="76" spans="3:8" x14ac:dyDescent="0.25">
      <c r="C76" s="1"/>
      <c r="D76" s="1"/>
      <c r="F76" s="1"/>
    </row>
    <row r="77" spans="3:8" x14ac:dyDescent="0.25">
      <c r="C77" s="1"/>
      <c r="D77" s="1"/>
      <c r="F77" s="1"/>
    </row>
  </sheetData>
  <mergeCells count="3">
    <mergeCell ref="A32:H32"/>
    <mergeCell ref="A47:H47"/>
    <mergeCell ref="A1:H1"/>
  </mergeCells>
  <phoneticPr fontId="2" type="noConversion"/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25A6-6653-46B6-AB91-8FA3B04F51ED}">
  <dimension ref="A1:Q56"/>
  <sheetViews>
    <sheetView workbookViewId="0">
      <selection activeCell="L20" sqref="L20"/>
    </sheetView>
  </sheetViews>
  <sheetFormatPr defaultRowHeight="15" x14ac:dyDescent="0.25"/>
  <cols>
    <col min="1" max="1" width="13.140625" customWidth="1"/>
    <col min="2" max="2" width="11" customWidth="1"/>
    <col min="3" max="3" width="12.42578125" customWidth="1"/>
    <col min="6" max="6" width="12" customWidth="1"/>
    <col min="7" max="7" width="11.42578125" customWidth="1"/>
  </cols>
  <sheetData>
    <row r="1" spans="1:8" ht="18.75" x14ac:dyDescent="0.3">
      <c r="A1" s="7" t="s">
        <v>62</v>
      </c>
      <c r="B1" s="7"/>
      <c r="C1" s="7"/>
      <c r="D1" s="7"/>
      <c r="E1" s="7"/>
      <c r="F1" s="7"/>
      <c r="G1" s="7"/>
      <c r="H1" s="7"/>
    </row>
    <row r="3" spans="1:8" x14ac:dyDescent="0.25">
      <c r="A3" t="s">
        <v>56</v>
      </c>
    </row>
    <row r="4" spans="1:8" ht="15.75" x14ac:dyDescent="0.25">
      <c r="D4" s="2"/>
    </row>
    <row r="5" spans="1:8" x14ac:dyDescent="0.25">
      <c r="A5" t="s">
        <v>0</v>
      </c>
    </row>
    <row r="6" spans="1:8" x14ac:dyDescent="0.25">
      <c r="A6" t="s">
        <v>18</v>
      </c>
      <c r="F6" t="s">
        <v>1</v>
      </c>
    </row>
    <row r="7" spans="1:8" x14ac:dyDescent="0.25">
      <c r="A7" t="s">
        <v>57</v>
      </c>
      <c r="C7" s="3"/>
    </row>
    <row r="8" spans="1:8" x14ac:dyDescent="0.25">
      <c r="A8" t="s">
        <v>58</v>
      </c>
      <c r="C8" s="3"/>
    </row>
    <row r="9" spans="1:8" x14ac:dyDescent="0.25">
      <c r="A9" t="s">
        <v>59</v>
      </c>
      <c r="C9" s="3"/>
    </row>
    <row r="10" spans="1:8" x14ac:dyDescent="0.25">
      <c r="A10" t="s">
        <v>60</v>
      </c>
      <c r="C10" s="3"/>
    </row>
    <row r="11" spans="1:8" x14ac:dyDescent="0.25">
      <c r="A11" t="s">
        <v>61</v>
      </c>
      <c r="C11" s="3"/>
    </row>
    <row r="12" spans="1:8" x14ac:dyDescent="0.25">
      <c r="A12" t="s">
        <v>24</v>
      </c>
      <c r="C12" s="3"/>
    </row>
    <row r="13" spans="1:8" x14ac:dyDescent="0.25">
      <c r="A13" t="s">
        <v>25</v>
      </c>
      <c r="C13" s="3"/>
    </row>
    <row r="15" spans="1:8" x14ac:dyDescent="0.25">
      <c r="A15" t="s">
        <v>26</v>
      </c>
    </row>
    <row r="16" spans="1:8" x14ac:dyDescent="0.25">
      <c r="A16" t="s">
        <v>27</v>
      </c>
    </row>
    <row r="17" spans="1:17" ht="58.5" customHeight="1" x14ac:dyDescent="0.25">
      <c r="A17" s="6" t="s">
        <v>2</v>
      </c>
      <c r="B17" s="6" t="s">
        <v>3</v>
      </c>
      <c r="C17" s="6" t="s">
        <v>4</v>
      </c>
      <c r="D17" s="6" t="s">
        <v>5</v>
      </c>
      <c r="E17" s="6" t="s">
        <v>6</v>
      </c>
      <c r="F17" s="6" t="s">
        <v>7</v>
      </c>
      <c r="G17" s="6" t="s">
        <v>8</v>
      </c>
      <c r="H17" s="6" t="s">
        <v>9</v>
      </c>
    </row>
    <row r="18" spans="1:17" x14ac:dyDescent="0.25">
      <c r="A18" t="s">
        <v>10</v>
      </c>
      <c r="B18">
        <v>96</v>
      </c>
      <c r="C18">
        <v>113.4</v>
      </c>
      <c r="D18">
        <f>C18*B18</f>
        <v>10886.400000000001</v>
      </c>
      <c r="E18">
        <v>24.17</v>
      </c>
      <c r="F18" s="1">
        <f t="shared" ref="F18:F46" si="0">D18/E18</f>
        <v>450.40959867604471</v>
      </c>
      <c r="G18" s="1">
        <f>AVERAGE(F18:F21)</f>
        <v>402.38743874068928</v>
      </c>
      <c r="H18" s="1">
        <f>_xlfn.STDEV.S(F18:F21)</f>
        <v>50.806065225336091</v>
      </c>
    </row>
    <row r="19" spans="1:17" x14ac:dyDescent="0.25">
      <c r="A19" t="s">
        <v>12</v>
      </c>
      <c r="B19">
        <v>96</v>
      </c>
      <c r="C19">
        <v>92.99</v>
      </c>
      <c r="D19">
        <f t="shared" ref="D19:D31" si="1">C19*B19</f>
        <v>8927.0399999999991</v>
      </c>
      <c r="E19">
        <v>23.88</v>
      </c>
      <c r="F19" s="1">
        <f t="shared" si="0"/>
        <v>373.8291457286432</v>
      </c>
      <c r="G19" s="1"/>
      <c r="H19" s="1"/>
      <c r="P19" t="s">
        <v>64</v>
      </c>
      <c r="Q19" t="s">
        <v>11</v>
      </c>
    </row>
    <row r="20" spans="1:17" x14ac:dyDescent="0.25">
      <c r="A20" t="s">
        <v>14</v>
      </c>
      <c r="B20">
        <v>170</v>
      </c>
      <c r="C20">
        <v>106.7</v>
      </c>
      <c r="D20">
        <f t="shared" si="1"/>
        <v>18139</v>
      </c>
      <c r="E20">
        <v>41.25</v>
      </c>
      <c r="F20" s="1">
        <f t="shared" si="0"/>
        <v>439.73333333333335</v>
      </c>
      <c r="G20" s="1"/>
      <c r="H20" s="1"/>
      <c r="M20" s="1"/>
      <c r="N20" s="1"/>
      <c r="O20" t="s">
        <v>13</v>
      </c>
      <c r="P20" s="1">
        <f>G18</f>
        <v>402.38743874068928</v>
      </c>
      <c r="Q20" s="1">
        <f>H18</f>
        <v>50.806065225336091</v>
      </c>
    </row>
    <row r="21" spans="1:17" x14ac:dyDescent="0.25">
      <c r="A21" t="s">
        <v>15</v>
      </c>
      <c r="B21">
        <v>109</v>
      </c>
      <c r="C21">
        <v>84.08</v>
      </c>
      <c r="D21">
        <f t="shared" si="1"/>
        <v>9164.7199999999993</v>
      </c>
      <c r="E21">
        <v>26.52</v>
      </c>
      <c r="F21" s="1">
        <f t="shared" si="0"/>
        <v>345.57767722473602</v>
      </c>
      <c r="G21" s="1"/>
      <c r="H21" s="1"/>
      <c r="M21" s="1"/>
      <c r="N21" s="1"/>
      <c r="O21">
        <v>2328</v>
      </c>
      <c r="P21" s="1">
        <f>G23</f>
        <v>531.25530981599604</v>
      </c>
      <c r="Q21" s="1">
        <f>H23</f>
        <v>56.659889124167471</v>
      </c>
    </row>
    <row r="22" spans="1:17" x14ac:dyDescent="0.25">
      <c r="D22">
        <f>C22*B22</f>
        <v>0</v>
      </c>
      <c r="F22" s="1"/>
      <c r="G22" s="1"/>
      <c r="H22" s="1"/>
      <c r="M22" s="1"/>
      <c r="N22" s="1"/>
      <c r="O22">
        <v>2329</v>
      </c>
      <c r="P22" s="1">
        <f>G28</f>
        <v>534.74163542059352</v>
      </c>
      <c r="Q22" s="1">
        <f>H28</f>
        <v>57.332443556781946</v>
      </c>
    </row>
    <row r="23" spans="1:17" x14ac:dyDescent="0.25">
      <c r="A23" t="s">
        <v>28</v>
      </c>
      <c r="B23">
        <v>146</v>
      </c>
      <c r="C23" s="1">
        <v>138.80000000000001</v>
      </c>
      <c r="D23">
        <f>C23*B23</f>
        <v>20264.800000000003</v>
      </c>
      <c r="E23">
        <v>37.270000000000003</v>
      </c>
      <c r="F23" s="1">
        <f t="shared" si="0"/>
        <v>543.72954118594043</v>
      </c>
      <c r="G23" s="1">
        <f>AVERAGE(F23:F26)</f>
        <v>531.25530981599604</v>
      </c>
      <c r="H23" s="1">
        <f>_xlfn.STDEV.S(F23:F26)</f>
        <v>56.659889124167471</v>
      </c>
      <c r="M23" s="1"/>
      <c r="N23" s="1"/>
      <c r="O23">
        <v>2330</v>
      </c>
      <c r="P23" s="1">
        <f>G33</f>
        <v>513.98570329303084</v>
      </c>
      <c r="Q23" s="1">
        <f>H33</f>
        <v>69.200693237749419</v>
      </c>
    </row>
    <row r="24" spans="1:17" x14ac:dyDescent="0.25">
      <c r="A24" t="s">
        <v>29</v>
      </c>
      <c r="B24">
        <v>140</v>
      </c>
      <c r="C24" s="1">
        <v>137.80000000000001</v>
      </c>
      <c r="D24">
        <f>C24*B24</f>
        <v>19292</v>
      </c>
      <c r="E24">
        <v>34.869999999999997</v>
      </c>
      <c r="F24" s="1">
        <f t="shared" si="0"/>
        <v>553.25494694579868</v>
      </c>
      <c r="G24" s="1"/>
      <c r="H24" s="1"/>
      <c r="M24" s="1"/>
      <c r="N24" s="1"/>
      <c r="O24">
        <v>2331</v>
      </c>
      <c r="P24" s="1">
        <f>G38</f>
        <v>590.72702020185307</v>
      </c>
      <c r="Q24" s="1">
        <f>H38</f>
        <v>97.790145610730846</v>
      </c>
    </row>
    <row r="25" spans="1:17" x14ac:dyDescent="0.25">
      <c r="A25" t="s">
        <v>30</v>
      </c>
      <c r="B25">
        <v>132</v>
      </c>
      <c r="C25">
        <v>145.80000000000001</v>
      </c>
      <c r="D25">
        <f>C25*B25</f>
        <v>19245.600000000002</v>
      </c>
      <c r="E25">
        <v>33.25</v>
      </c>
      <c r="F25" s="1">
        <f t="shared" si="0"/>
        <v>578.81503759398504</v>
      </c>
      <c r="G25" s="1"/>
      <c r="H25" s="1"/>
      <c r="M25" s="1"/>
      <c r="N25" s="1"/>
      <c r="O25">
        <v>2332</v>
      </c>
      <c r="P25" s="1">
        <f>G43</f>
        <v>513.85780732127216</v>
      </c>
      <c r="Q25" s="1">
        <f>H43</f>
        <v>26.85960143468418</v>
      </c>
    </row>
    <row r="26" spans="1:17" x14ac:dyDescent="0.25">
      <c r="A26" t="s">
        <v>31</v>
      </c>
      <c r="B26">
        <v>122</v>
      </c>
      <c r="C26">
        <v>112.6</v>
      </c>
      <c r="D26">
        <f>C26*B26</f>
        <v>13737.199999999999</v>
      </c>
      <c r="E26">
        <v>30.58</v>
      </c>
      <c r="F26" s="1">
        <f t="shared" si="0"/>
        <v>449.2217135382603</v>
      </c>
      <c r="G26" s="1"/>
      <c r="H26" s="1"/>
      <c r="M26" s="1"/>
      <c r="N26" s="1"/>
      <c r="O26">
        <v>2333</v>
      </c>
      <c r="P26" s="1">
        <f>G48</f>
        <v>500.75957955630236</v>
      </c>
      <c r="Q26" s="1">
        <f>H48</f>
        <v>61.028271080298737</v>
      </c>
    </row>
    <row r="27" spans="1:17" x14ac:dyDescent="0.25">
      <c r="F27" s="1"/>
      <c r="G27" s="1"/>
      <c r="H27" s="1"/>
      <c r="M27" s="1"/>
      <c r="N27" s="1"/>
      <c r="O27">
        <v>2334</v>
      </c>
      <c r="P27" s="1">
        <f>G53</f>
        <v>525.32739865378392</v>
      </c>
      <c r="Q27" s="1">
        <f>H53</f>
        <v>85.23245346418517</v>
      </c>
    </row>
    <row r="28" spans="1:17" x14ac:dyDescent="0.25">
      <c r="A28" t="s">
        <v>32</v>
      </c>
      <c r="B28">
        <v>132</v>
      </c>
      <c r="C28">
        <v>125.6</v>
      </c>
      <c r="D28">
        <f t="shared" si="1"/>
        <v>16579.2</v>
      </c>
      <c r="E28">
        <v>33.53</v>
      </c>
      <c r="F28" s="1">
        <f t="shared" si="0"/>
        <v>494.45869370712796</v>
      </c>
      <c r="G28" s="1">
        <f>AVERAGE(F28:F31)</f>
        <v>534.74163542059352</v>
      </c>
      <c r="H28" s="1">
        <f>_xlfn.STDEV.S(F28:F31)</f>
        <v>57.332443556781946</v>
      </c>
    </row>
    <row r="29" spans="1:17" x14ac:dyDescent="0.25">
      <c r="A29" t="s">
        <v>33</v>
      </c>
      <c r="B29">
        <v>116</v>
      </c>
      <c r="C29">
        <v>139</v>
      </c>
      <c r="D29">
        <f t="shared" si="1"/>
        <v>16124</v>
      </c>
      <c r="E29">
        <v>29.17</v>
      </c>
      <c r="F29" s="1">
        <f t="shared" si="0"/>
        <v>552.75968460747345</v>
      </c>
      <c r="G29" s="1"/>
      <c r="H29" s="1"/>
    </row>
    <row r="30" spans="1:17" x14ac:dyDescent="0.25">
      <c r="A30" t="s">
        <v>34</v>
      </c>
      <c r="B30">
        <v>148</v>
      </c>
      <c r="C30">
        <v>118.8</v>
      </c>
      <c r="D30">
        <f t="shared" si="1"/>
        <v>17582.399999999998</v>
      </c>
      <c r="E30">
        <v>36.33</v>
      </c>
      <c r="F30" s="1">
        <f t="shared" si="0"/>
        <v>483.963666391412</v>
      </c>
      <c r="G30" s="1"/>
      <c r="H30" s="1"/>
    </row>
    <row r="31" spans="1:17" x14ac:dyDescent="0.25">
      <c r="A31" t="s">
        <v>35</v>
      </c>
      <c r="B31">
        <v>148</v>
      </c>
      <c r="C31">
        <v>149.4</v>
      </c>
      <c r="D31">
        <f t="shared" si="1"/>
        <v>22111.200000000001</v>
      </c>
      <c r="E31">
        <v>36.380000000000003</v>
      </c>
      <c r="F31" s="1">
        <f t="shared" si="0"/>
        <v>607.78449697636063</v>
      </c>
      <c r="G31" s="1"/>
      <c r="H31" s="1"/>
    </row>
    <row r="32" spans="1:17" x14ac:dyDescent="0.25">
      <c r="F32" s="1"/>
      <c r="G32" s="1"/>
      <c r="H32" s="1"/>
    </row>
    <row r="33" spans="1:8" x14ac:dyDescent="0.25">
      <c r="A33" t="s">
        <v>36</v>
      </c>
      <c r="B33">
        <v>131</v>
      </c>
      <c r="C33">
        <v>140.19999999999999</v>
      </c>
      <c r="D33">
        <f t="shared" ref="D33:D46" si="2">C33*B33</f>
        <v>18366.199999999997</v>
      </c>
      <c r="E33">
        <v>33.53</v>
      </c>
      <c r="F33" s="1">
        <f t="shared" si="0"/>
        <v>547.75424992543981</v>
      </c>
      <c r="G33" s="1">
        <f>AVERAGE(F33:F36)</f>
        <v>513.98570329303084</v>
      </c>
      <c r="H33" s="1">
        <f>_xlfn.STDEV.S(F33:F36)</f>
        <v>69.200693237749419</v>
      </c>
    </row>
    <row r="34" spans="1:8" x14ac:dyDescent="0.25">
      <c r="A34" t="s">
        <v>37</v>
      </c>
      <c r="B34">
        <v>85</v>
      </c>
      <c r="C34">
        <v>148.9</v>
      </c>
      <c r="D34">
        <f t="shared" si="2"/>
        <v>12656.5</v>
      </c>
      <c r="E34">
        <v>21.42</v>
      </c>
      <c r="F34" s="1">
        <f t="shared" si="0"/>
        <v>590.87301587301579</v>
      </c>
      <c r="G34" s="1"/>
      <c r="H34" s="1"/>
    </row>
    <row r="35" spans="1:8" x14ac:dyDescent="0.25">
      <c r="A35" t="s">
        <v>38</v>
      </c>
      <c r="B35">
        <v>147</v>
      </c>
      <c r="C35">
        <v>109.3</v>
      </c>
      <c r="D35">
        <f t="shared" si="2"/>
        <v>16067.1</v>
      </c>
      <c r="E35">
        <v>37</v>
      </c>
      <c r="F35" s="1">
        <f t="shared" si="0"/>
        <v>434.24594594594595</v>
      </c>
      <c r="G35" s="1"/>
      <c r="H35" s="1"/>
    </row>
    <row r="36" spans="1:8" x14ac:dyDescent="0.25">
      <c r="A36" t="s">
        <v>39</v>
      </c>
      <c r="B36">
        <v>134</v>
      </c>
      <c r="C36">
        <v>121.2</v>
      </c>
      <c r="D36">
        <f t="shared" si="2"/>
        <v>16240.800000000001</v>
      </c>
      <c r="E36">
        <v>33.619999999999997</v>
      </c>
      <c r="F36" s="1">
        <f t="shared" si="0"/>
        <v>483.06960142772164</v>
      </c>
      <c r="G36" s="1"/>
      <c r="H36" s="1"/>
    </row>
    <row r="37" spans="1:8" x14ac:dyDescent="0.25">
      <c r="F37" s="1"/>
      <c r="G37" s="1"/>
      <c r="H37" s="1"/>
    </row>
    <row r="38" spans="1:8" x14ac:dyDescent="0.25">
      <c r="A38" t="s">
        <v>40</v>
      </c>
      <c r="B38">
        <v>170</v>
      </c>
      <c r="C38">
        <v>144</v>
      </c>
      <c r="D38">
        <f t="shared" si="2"/>
        <v>24480</v>
      </c>
      <c r="E38">
        <v>42.97</v>
      </c>
      <c r="F38" s="1">
        <f t="shared" si="0"/>
        <v>569.69979055154761</v>
      </c>
      <c r="G38" s="1">
        <f>AVERAGE(F38:F41)</f>
        <v>590.72702020185307</v>
      </c>
      <c r="H38" s="1">
        <f>_xlfn.STDEV.S(F38:F41)</f>
        <v>97.790145610730846</v>
      </c>
    </row>
    <row r="39" spans="1:8" x14ac:dyDescent="0.25">
      <c r="A39" t="s">
        <v>41</v>
      </c>
      <c r="B39">
        <v>126</v>
      </c>
      <c r="C39">
        <v>153.80000000000001</v>
      </c>
      <c r="D39">
        <f t="shared" si="2"/>
        <v>19378.800000000003</v>
      </c>
      <c r="E39">
        <v>31.78</v>
      </c>
      <c r="F39" s="1">
        <f t="shared" si="0"/>
        <v>609.77973568281948</v>
      </c>
      <c r="G39" s="1"/>
      <c r="H39" s="1"/>
    </row>
    <row r="40" spans="1:8" x14ac:dyDescent="0.25">
      <c r="A40" t="s">
        <v>42</v>
      </c>
      <c r="B40">
        <v>150</v>
      </c>
      <c r="C40">
        <v>176.5</v>
      </c>
      <c r="D40">
        <f t="shared" si="2"/>
        <v>26475</v>
      </c>
      <c r="E40">
        <v>37.299999999999997</v>
      </c>
      <c r="F40" s="1">
        <f t="shared" si="0"/>
        <v>709.78552278820382</v>
      </c>
      <c r="G40" s="1"/>
      <c r="H40" s="1"/>
    </row>
    <row r="41" spans="1:8" x14ac:dyDescent="0.25">
      <c r="A41" t="s">
        <v>43</v>
      </c>
      <c r="B41">
        <v>116</v>
      </c>
      <c r="C41">
        <v>116.9</v>
      </c>
      <c r="D41">
        <f t="shared" si="2"/>
        <v>13560.400000000001</v>
      </c>
      <c r="E41">
        <v>28.63</v>
      </c>
      <c r="F41" s="1">
        <f t="shared" si="0"/>
        <v>473.64303178484113</v>
      </c>
      <c r="G41" s="1"/>
      <c r="H41" s="1"/>
    </row>
    <row r="42" spans="1:8" x14ac:dyDescent="0.25">
      <c r="F42" s="1"/>
      <c r="G42" s="1"/>
      <c r="H42" s="1"/>
    </row>
    <row r="43" spans="1:8" x14ac:dyDescent="0.25">
      <c r="A43" t="s">
        <v>44</v>
      </c>
      <c r="B43">
        <v>126</v>
      </c>
      <c r="C43">
        <v>123</v>
      </c>
      <c r="D43">
        <f t="shared" si="2"/>
        <v>15498</v>
      </c>
      <c r="E43">
        <v>32.28</v>
      </c>
      <c r="F43" s="1">
        <f t="shared" si="0"/>
        <v>480.11152416356873</v>
      </c>
      <c r="G43" s="1">
        <f>AVERAGE(F43:F46)</f>
        <v>513.85780732127216</v>
      </c>
      <c r="H43" s="1">
        <f>_xlfn.STDEV.S(F43:F46)</f>
        <v>26.85960143468418</v>
      </c>
    </row>
    <row r="44" spans="1:8" x14ac:dyDescent="0.25">
      <c r="A44" t="s">
        <v>45</v>
      </c>
      <c r="B44">
        <v>100</v>
      </c>
      <c r="C44">
        <v>134.1</v>
      </c>
      <c r="D44">
        <f t="shared" si="2"/>
        <v>13410</v>
      </c>
      <c r="E44">
        <v>24.82</v>
      </c>
      <c r="F44" s="1">
        <f t="shared" si="0"/>
        <v>540.29008863819502</v>
      </c>
      <c r="G44" s="1"/>
      <c r="H44" s="1"/>
    </row>
    <row r="45" spans="1:8" x14ac:dyDescent="0.25">
      <c r="A45" t="s">
        <v>46</v>
      </c>
      <c r="B45">
        <v>141</v>
      </c>
      <c r="C45">
        <v>130.6</v>
      </c>
      <c r="D45">
        <f t="shared" si="2"/>
        <v>18414.599999999999</v>
      </c>
      <c r="E45">
        <v>34.76</v>
      </c>
      <c r="F45" s="1">
        <f t="shared" si="0"/>
        <v>529.76409666283087</v>
      </c>
      <c r="G45" s="1"/>
      <c r="H45" s="1"/>
    </row>
    <row r="46" spans="1:8" x14ac:dyDescent="0.25">
      <c r="A46" t="s">
        <v>47</v>
      </c>
      <c r="B46">
        <v>162</v>
      </c>
      <c r="C46">
        <v>125.1</v>
      </c>
      <c r="D46">
        <f t="shared" si="2"/>
        <v>20266.2</v>
      </c>
      <c r="E46">
        <v>40.11</v>
      </c>
      <c r="F46" s="1">
        <f t="shared" si="0"/>
        <v>505.26551982049369</v>
      </c>
      <c r="G46" s="1"/>
      <c r="H46" s="1"/>
    </row>
    <row r="47" spans="1:8" x14ac:dyDescent="0.25">
      <c r="F47" s="1"/>
      <c r="G47" s="1"/>
      <c r="H47" s="1"/>
    </row>
    <row r="48" spans="1:8" x14ac:dyDescent="0.25">
      <c r="A48" t="s">
        <v>48</v>
      </c>
      <c r="B48">
        <v>91</v>
      </c>
      <c r="C48">
        <v>123.5</v>
      </c>
      <c r="D48">
        <f t="shared" ref="D48:D56" si="3">C48*B48</f>
        <v>11238.5</v>
      </c>
      <c r="E48">
        <v>23.92</v>
      </c>
      <c r="F48" s="1">
        <f t="shared" ref="F48:F56" si="4">D48/E48</f>
        <v>469.83695652173907</v>
      </c>
      <c r="G48" s="1">
        <f>AVERAGE(F48:F51)</f>
        <v>500.75957955630236</v>
      </c>
      <c r="H48" s="1">
        <f>_xlfn.STDEV.S(F48:F51)</f>
        <v>61.028271080298737</v>
      </c>
    </row>
    <row r="49" spans="1:8" x14ac:dyDescent="0.25">
      <c r="A49" t="s">
        <v>49</v>
      </c>
      <c r="B49">
        <v>123</v>
      </c>
      <c r="C49">
        <v>118.2</v>
      </c>
      <c r="D49">
        <f t="shared" si="3"/>
        <v>14538.6</v>
      </c>
      <c r="E49">
        <v>30.85</v>
      </c>
      <c r="F49" s="1">
        <f t="shared" si="4"/>
        <v>471.26742301458671</v>
      </c>
      <c r="G49" s="1"/>
      <c r="H49" s="1"/>
    </row>
    <row r="50" spans="1:8" x14ac:dyDescent="0.25">
      <c r="A50" t="s">
        <v>50</v>
      </c>
      <c r="B50">
        <v>148</v>
      </c>
      <c r="C50">
        <v>117.6</v>
      </c>
      <c r="D50">
        <f t="shared" si="3"/>
        <v>17404.8</v>
      </c>
      <c r="E50">
        <v>37.06</v>
      </c>
      <c r="F50" s="1">
        <f t="shared" si="4"/>
        <v>469.63842417701022</v>
      </c>
      <c r="G50" s="1"/>
      <c r="H50" s="1"/>
    </row>
    <row r="51" spans="1:8" x14ac:dyDescent="0.25">
      <c r="A51" t="s">
        <v>51</v>
      </c>
      <c r="B51">
        <v>138</v>
      </c>
      <c r="C51">
        <v>146.4</v>
      </c>
      <c r="D51">
        <f t="shared" si="3"/>
        <v>20203.2</v>
      </c>
      <c r="E51">
        <v>34.11</v>
      </c>
      <c r="F51" s="1">
        <f t="shared" si="4"/>
        <v>592.29551451187342</v>
      </c>
      <c r="G51" s="1"/>
      <c r="H51" s="1"/>
    </row>
    <row r="52" spans="1:8" x14ac:dyDescent="0.25">
      <c r="F52" s="1"/>
      <c r="G52" s="1"/>
      <c r="H52" s="1"/>
    </row>
    <row r="53" spans="1:8" x14ac:dyDescent="0.25">
      <c r="A53" t="s">
        <v>52</v>
      </c>
      <c r="B53">
        <v>98</v>
      </c>
      <c r="C53">
        <v>122.7</v>
      </c>
      <c r="D53">
        <f t="shared" si="3"/>
        <v>12024.6</v>
      </c>
      <c r="E53">
        <v>25.43</v>
      </c>
      <c r="F53" s="1">
        <f t="shared" si="4"/>
        <v>472.85096342902085</v>
      </c>
      <c r="G53" s="1">
        <f>AVERAGE(F53:F56)</f>
        <v>525.32739865378392</v>
      </c>
      <c r="H53" s="1">
        <f>_xlfn.STDEV.S(F53:F56)</f>
        <v>85.23245346418517</v>
      </c>
    </row>
    <row r="54" spans="1:8" x14ac:dyDescent="0.25">
      <c r="A54" t="s">
        <v>53</v>
      </c>
      <c r="B54">
        <v>132</v>
      </c>
      <c r="C54">
        <v>108.9</v>
      </c>
      <c r="D54">
        <f t="shared" si="3"/>
        <v>14374.800000000001</v>
      </c>
      <c r="E54">
        <v>32.590000000000003</v>
      </c>
      <c r="F54" s="1">
        <f t="shared" si="4"/>
        <v>441.08008591592511</v>
      </c>
      <c r="G54" s="1"/>
      <c r="H54" s="1"/>
    </row>
    <row r="55" spans="1:8" x14ac:dyDescent="0.25">
      <c r="A55" t="s">
        <v>54</v>
      </c>
      <c r="B55">
        <v>114</v>
      </c>
      <c r="C55">
        <v>142.4</v>
      </c>
      <c r="D55">
        <f t="shared" si="3"/>
        <v>16233.6</v>
      </c>
      <c r="E55">
        <v>29.11</v>
      </c>
      <c r="F55" s="1">
        <f t="shared" si="4"/>
        <v>557.66403297835802</v>
      </c>
      <c r="G55" s="1"/>
      <c r="H55" s="1"/>
    </row>
    <row r="56" spans="1:8" x14ac:dyDescent="0.25">
      <c r="A56" t="s">
        <v>55</v>
      </c>
      <c r="B56">
        <v>102</v>
      </c>
      <c r="C56">
        <v>155.69999999999999</v>
      </c>
      <c r="D56">
        <f t="shared" si="3"/>
        <v>15881.4</v>
      </c>
      <c r="E56">
        <v>25.22</v>
      </c>
      <c r="F56" s="1">
        <f t="shared" si="4"/>
        <v>629.71451229183185</v>
      </c>
      <c r="G56" s="1"/>
      <c r="H56" s="1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HC2</vt:lpstr>
      <vt:lpstr>HC5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John&amp;Zheng</dc:creator>
  <cp:keywords/>
  <dc:description/>
  <cp:lastModifiedBy>Rebecca Pastora</cp:lastModifiedBy>
  <cp:revision/>
  <dcterms:created xsi:type="dcterms:W3CDTF">2015-10-13T19:19:38Z</dcterms:created>
  <dcterms:modified xsi:type="dcterms:W3CDTF">2026-08-06T20:47:42Z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edc484-df8e-4677-b6e0-8bf66a62fb8c_Enabled">
    <vt:lpwstr>true</vt:lpwstr>
  </property>
  <property fmtid="{D5CDD505-2E9C-101B-9397-08002B2CF9AE}" pid="3" name="MSIP_Label_0cedc484-df8e-4677-b6e0-8bf66a62fb8c_SetDate">
    <vt:lpwstr>2022-09-08T12:06:54Z</vt:lpwstr>
  </property>
  <property fmtid="{D5CDD505-2E9C-101B-9397-08002B2CF9AE}" pid="4" name="MSIP_Label_0cedc484-df8e-4677-b6e0-8bf66a62fb8c_Method">
    <vt:lpwstr>Standard</vt:lpwstr>
  </property>
  <property fmtid="{D5CDD505-2E9C-101B-9397-08002B2CF9AE}" pid="5" name="MSIP_Label_0cedc484-df8e-4677-b6e0-8bf66a62fb8c_Name">
    <vt:lpwstr>Internal</vt:lpwstr>
  </property>
  <property fmtid="{D5CDD505-2E9C-101B-9397-08002B2CF9AE}" pid="6" name="MSIP_Label_0cedc484-df8e-4677-b6e0-8bf66a62fb8c_SiteId">
    <vt:lpwstr>dc7155ba-0c9b-4e9b-9b8d-c7267412b468</vt:lpwstr>
  </property>
  <property fmtid="{D5CDD505-2E9C-101B-9397-08002B2CF9AE}" pid="7" name="MSIP_Label_0cedc484-df8e-4677-b6e0-8bf66a62fb8c_ActionId">
    <vt:lpwstr>c15be5e3-6a8f-4c23-9e4a-c696156d29aa</vt:lpwstr>
  </property>
  <property fmtid="{D5CDD505-2E9C-101B-9397-08002B2CF9AE}" pid="8" name="MSIP_Label_0cedc484-df8e-4677-b6e0-8bf66a62fb8c_ContentBits">
    <vt:lpwstr>0</vt:lpwstr>
  </property>
</Properties>
</file>